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90852300-586E-4D63-8DCB-5337F9E48E83}" xr6:coauthVersionLast="36" xr6:coauthVersionMax="36" xr10:uidLastSave="{00000000-0000-0000-0000-000000000000}"/>
  <bookViews>
    <workbookView xWindow="0" yWindow="0" windowWidth="23040" windowHeight="8940" tabRatio="982" activeTab="5" xr2:uid="{7A0ED190-F387-421C-A24F-F3F243E581A2}"/>
  </bookViews>
  <sheets>
    <sheet name="HOME" sheetId="1" r:id="rId1"/>
    <sheet name="ABOUT" sheetId="2" r:id="rId2"/>
    <sheet name="STUDENT DETAILS" sheetId="3" r:id="rId3"/>
    <sheet name="Teacher Details" sheetId="4" r:id="rId4"/>
    <sheet name="STUDENT EMIS DATA" sheetId="5" r:id="rId5"/>
    <sheet name="TEACHER EMIS DATA" sheetId="6" r:id="rId6"/>
    <sheet name="FEES COLLECTION" sheetId="7" r:id="rId7"/>
    <sheet name="ADM.RECIEPT" sheetId="8" r:id="rId8"/>
    <sheet name="FEE RECIEPT" sheetId="9" r:id="rId9"/>
    <sheet name="STUDENT EMIS TABLE" sheetId="10" r:id="rId10"/>
    <sheet name="TEACHER EMIS TABLE" sheetId="11" r:id="rId11"/>
    <sheet name="SETTING" sheetId="13" r:id="rId12"/>
  </sheets>
  <definedNames>
    <definedName name="ACC">SETTING!$L$2:$L$9</definedName>
    <definedName name="ADM">'STUDENT DETAILS'!$A$2:$J$595</definedName>
    <definedName name="CLASS">SETTING!$B$3:$B$16</definedName>
    <definedName name="Daata">OFFSET('Teacher Details'!$A$1,1,0,COUNTA('Teacher Details'!$A:$A)-1,23)</definedName>
    <definedName name="DESIG">SETTING!$H$3:$H$12</definedName>
    <definedName name="FEES">OFFSET('FEES COLLECTION'!$A$5,1,0,COUNTA('FEES COLLECTION'!$A:$A)-1,13)</definedName>
    <definedName name="PAY">'FEES COLLECTION'!$A$6:$M$605</definedName>
    <definedName name="PROF">SETTING!$P$2:$P$8</definedName>
    <definedName name="RANK">SETTING!$T$3:$T$13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8" l="1"/>
  <c r="E13" i="8"/>
  <c r="E11" i="8"/>
  <c r="E9" i="8"/>
  <c r="E7" i="8"/>
  <c r="B15" i="8"/>
  <c r="B13" i="8"/>
  <c r="B11" i="8"/>
  <c r="B9" i="8"/>
  <c r="B7" i="8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" i="7"/>
  <c r="C6" i="7"/>
  <c r="D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" i="7"/>
  <c r="F8" i="9" l="1"/>
  <c r="F10" i="9"/>
  <c r="F12" i="9"/>
  <c r="F14" i="9"/>
  <c r="C10" i="9"/>
  <c r="C12" i="9"/>
  <c r="A21" i="9"/>
  <c r="C8" i="9"/>
  <c r="C14" i="9"/>
  <c r="C16" i="9"/>
  <c r="M125" i="7"/>
  <c r="M189" i="7"/>
  <c r="M253" i="7"/>
  <c r="M317" i="7"/>
  <c r="M381" i="7"/>
  <c r="M445" i="7"/>
  <c r="M509" i="7"/>
  <c r="M573" i="7"/>
  <c r="L119" i="7"/>
  <c r="L183" i="7"/>
  <c r="L247" i="7"/>
  <c r="L257" i="7"/>
  <c r="L265" i="7"/>
  <c r="L273" i="7"/>
  <c r="L281" i="7"/>
  <c r="L289" i="7"/>
  <c r="L297" i="7"/>
  <c r="L305" i="7"/>
  <c r="L313" i="7"/>
  <c r="L321" i="7"/>
  <c r="L329" i="7"/>
  <c r="L337" i="7"/>
  <c r="L345" i="7"/>
  <c r="L353" i="7"/>
  <c r="L361" i="7"/>
  <c r="L369" i="7"/>
  <c r="L377" i="7"/>
  <c r="L385" i="7"/>
  <c r="L393" i="7"/>
  <c r="L401" i="7"/>
  <c r="L409" i="7"/>
  <c r="L417" i="7"/>
  <c r="L425" i="7"/>
  <c r="L433" i="7"/>
  <c r="L441" i="7"/>
  <c r="L449" i="7"/>
  <c r="L457" i="7"/>
  <c r="L465" i="7"/>
  <c r="L473" i="7"/>
  <c r="L481" i="7"/>
  <c r="L489" i="7"/>
  <c r="L497" i="7"/>
  <c r="L505" i="7"/>
  <c r="L513" i="7"/>
  <c r="L521" i="7"/>
  <c r="L529" i="7"/>
  <c r="L537" i="7"/>
  <c r="L545" i="7"/>
  <c r="L553" i="7"/>
  <c r="L561" i="7"/>
  <c r="L569" i="7"/>
  <c r="L577" i="7"/>
  <c r="L585" i="7"/>
  <c r="L593" i="7"/>
  <c r="L601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" i="7"/>
  <c r="F7" i="7"/>
  <c r="M7" i="7" s="1"/>
  <c r="F8" i="7"/>
  <c r="L8" i="7" s="1"/>
  <c r="F9" i="7"/>
  <c r="L9" i="7" s="1"/>
  <c r="F10" i="7"/>
  <c r="L10" i="7" s="1"/>
  <c r="F11" i="7"/>
  <c r="L11" i="7" s="1"/>
  <c r="F12" i="7"/>
  <c r="F13" i="7"/>
  <c r="F14" i="7"/>
  <c r="F15" i="7"/>
  <c r="M15" i="7" s="1"/>
  <c r="F16" i="7"/>
  <c r="L16" i="7" s="1"/>
  <c r="F17" i="7"/>
  <c r="L17" i="7" s="1"/>
  <c r="F18" i="7"/>
  <c r="L18" i="7" s="1"/>
  <c r="F19" i="7"/>
  <c r="L19" i="7" s="1"/>
  <c r="F20" i="7"/>
  <c r="F21" i="7"/>
  <c r="F22" i="7"/>
  <c r="F23" i="7"/>
  <c r="M23" i="7" s="1"/>
  <c r="F24" i="7"/>
  <c r="L24" i="7" s="1"/>
  <c r="F25" i="7"/>
  <c r="L25" i="7" s="1"/>
  <c r="F26" i="7"/>
  <c r="L26" i="7" s="1"/>
  <c r="F27" i="7"/>
  <c r="L27" i="7" s="1"/>
  <c r="F28" i="7"/>
  <c r="F29" i="7"/>
  <c r="L29" i="7" s="1"/>
  <c r="F30" i="7"/>
  <c r="F31" i="7"/>
  <c r="M31" i="7" s="1"/>
  <c r="F32" i="7"/>
  <c r="L32" i="7" s="1"/>
  <c r="F33" i="7"/>
  <c r="L33" i="7" s="1"/>
  <c r="F34" i="7"/>
  <c r="L34" i="7" s="1"/>
  <c r="F35" i="7"/>
  <c r="L35" i="7" s="1"/>
  <c r="F36" i="7"/>
  <c r="F37" i="7"/>
  <c r="F38" i="7"/>
  <c r="M38" i="7" s="1"/>
  <c r="F39" i="7"/>
  <c r="M39" i="7" s="1"/>
  <c r="F40" i="7"/>
  <c r="L40" i="7" s="1"/>
  <c r="F41" i="7"/>
  <c r="L41" i="7" s="1"/>
  <c r="F42" i="7"/>
  <c r="L42" i="7" s="1"/>
  <c r="F43" i="7"/>
  <c r="L43" i="7" s="1"/>
  <c r="F44" i="7"/>
  <c r="F45" i="7"/>
  <c r="F46" i="7"/>
  <c r="F47" i="7"/>
  <c r="M47" i="7" s="1"/>
  <c r="F48" i="7"/>
  <c r="L48" i="7" s="1"/>
  <c r="F49" i="7"/>
  <c r="L49" i="7" s="1"/>
  <c r="F50" i="7"/>
  <c r="L50" i="7" s="1"/>
  <c r="F51" i="7"/>
  <c r="L51" i="7" s="1"/>
  <c r="F52" i="7"/>
  <c r="F53" i="7"/>
  <c r="F54" i="7"/>
  <c r="F55" i="7"/>
  <c r="M55" i="7" s="1"/>
  <c r="F56" i="7"/>
  <c r="L56" i="7" s="1"/>
  <c r="F57" i="7"/>
  <c r="L57" i="7" s="1"/>
  <c r="F58" i="7"/>
  <c r="L58" i="7" s="1"/>
  <c r="F59" i="7"/>
  <c r="L59" i="7" s="1"/>
  <c r="F60" i="7"/>
  <c r="F61" i="7"/>
  <c r="L61" i="7" s="1"/>
  <c r="F62" i="7"/>
  <c r="F63" i="7"/>
  <c r="M63" i="7" s="1"/>
  <c r="F64" i="7"/>
  <c r="L64" i="7" s="1"/>
  <c r="F65" i="7"/>
  <c r="L65" i="7" s="1"/>
  <c r="F66" i="7"/>
  <c r="L66" i="7" s="1"/>
  <c r="F67" i="7"/>
  <c r="L67" i="7" s="1"/>
  <c r="F68" i="7"/>
  <c r="F69" i="7"/>
  <c r="F70" i="7"/>
  <c r="M70" i="7" s="1"/>
  <c r="F71" i="7"/>
  <c r="M71" i="7" s="1"/>
  <c r="F72" i="7"/>
  <c r="L72" i="7" s="1"/>
  <c r="F73" i="7"/>
  <c r="L73" i="7" s="1"/>
  <c r="F74" i="7"/>
  <c r="L74" i="7" s="1"/>
  <c r="F75" i="7"/>
  <c r="L75" i="7" s="1"/>
  <c r="F76" i="7"/>
  <c r="F77" i="7"/>
  <c r="F78" i="7"/>
  <c r="F79" i="7"/>
  <c r="M79" i="7" s="1"/>
  <c r="F80" i="7"/>
  <c r="L80" i="7" s="1"/>
  <c r="F81" i="7"/>
  <c r="L81" i="7" s="1"/>
  <c r="F82" i="7"/>
  <c r="L82" i="7" s="1"/>
  <c r="F83" i="7"/>
  <c r="L83" i="7" s="1"/>
  <c r="F84" i="7"/>
  <c r="F85" i="7"/>
  <c r="F86" i="7"/>
  <c r="F87" i="7"/>
  <c r="M87" i="7" s="1"/>
  <c r="F88" i="7"/>
  <c r="L88" i="7" s="1"/>
  <c r="F89" i="7"/>
  <c r="L89" i="7" s="1"/>
  <c r="F90" i="7"/>
  <c r="L90" i="7" s="1"/>
  <c r="F91" i="7"/>
  <c r="L91" i="7" s="1"/>
  <c r="F92" i="7"/>
  <c r="F93" i="7"/>
  <c r="L93" i="7" s="1"/>
  <c r="F94" i="7"/>
  <c r="F95" i="7"/>
  <c r="M95" i="7" s="1"/>
  <c r="F96" i="7"/>
  <c r="L96" i="7" s="1"/>
  <c r="F97" i="7"/>
  <c r="L97" i="7" s="1"/>
  <c r="F98" i="7"/>
  <c r="L98" i="7" s="1"/>
  <c r="F99" i="7"/>
  <c r="L99" i="7" s="1"/>
  <c r="F100" i="7"/>
  <c r="F101" i="7"/>
  <c r="F102" i="7"/>
  <c r="M102" i="7" s="1"/>
  <c r="F103" i="7"/>
  <c r="M103" i="7" s="1"/>
  <c r="F104" i="7"/>
  <c r="L104" i="7" s="1"/>
  <c r="F105" i="7"/>
  <c r="L105" i="7" s="1"/>
  <c r="F106" i="7"/>
  <c r="L106" i="7" s="1"/>
  <c r="F107" i="7"/>
  <c r="L107" i="7" s="1"/>
  <c r="F108" i="7"/>
  <c r="F109" i="7"/>
  <c r="F110" i="7"/>
  <c r="F111" i="7"/>
  <c r="M111" i="7" s="1"/>
  <c r="F112" i="7"/>
  <c r="L112" i="7" s="1"/>
  <c r="F113" i="7"/>
  <c r="L113" i="7" s="1"/>
  <c r="F114" i="7"/>
  <c r="F115" i="7"/>
  <c r="F116" i="7"/>
  <c r="F117" i="7"/>
  <c r="L117" i="7" s="1"/>
  <c r="F118" i="7"/>
  <c r="F119" i="7"/>
  <c r="M119" i="7" s="1"/>
  <c r="F120" i="7"/>
  <c r="F121" i="7"/>
  <c r="F122" i="7"/>
  <c r="F123" i="7"/>
  <c r="F124" i="7"/>
  <c r="F125" i="7"/>
  <c r="L125" i="7" s="1"/>
  <c r="F126" i="7"/>
  <c r="F127" i="7"/>
  <c r="M127" i="7" s="1"/>
  <c r="F128" i="7"/>
  <c r="F129" i="7"/>
  <c r="F130" i="7"/>
  <c r="F131" i="7"/>
  <c r="F132" i="7"/>
  <c r="F133" i="7"/>
  <c r="L133" i="7" s="1"/>
  <c r="F134" i="7"/>
  <c r="F135" i="7"/>
  <c r="M135" i="7" s="1"/>
  <c r="F136" i="7"/>
  <c r="F137" i="7"/>
  <c r="F138" i="7"/>
  <c r="F139" i="7"/>
  <c r="F140" i="7"/>
  <c r="F141" i="7"/>
  <c r="L141" i="7" s="1"/>
  <c r="F142" i="7"/>
  <c r="F143" i="7"/>
  <c r="M143" i="7" s="1"/>
  <c r="F144" i="7"/>
  <c r="F145" i="7"/>
  <c r="F146" i="7"/>
  <c r="F147" i="7"/>
  <c r="F148" i="7"/>
  <c r="F149" i="7"/>
  <c r="L149" i="7" s="1"/>
  <c r="F150" i="7"/>
  <c r="F151" i="7"/>
  <c r="M151" i="7" s="1"/>
  <c r="F152" i="7"/>
  <c r="F153" i="7"/>
  <c r="F154" i="7"/>
  <c r="F155" i="7"/>
  <c r="F156" i="7"/>
  <c r="F157" i="7"/>
  <c r="L157" i="7" s="1"/>
  <c r="F158" i="7"/>
  <c r="F159" i="7"/>
  <c r="M159" i="7" s="1"/>
  <c r="F160" i="7"/>
  <c r="F161" i="7"/>
  <c r="F162" i="7"/>
  <c r="F163" i="7"/>
  <c r="F164" i="7"/>
  <c r="F165" i="7"/>
  <c r="L165" i="7" s="1"/>
  <c r="F166" i="7"/>
  <c r="F167" i="7"/>
  <c r="M167" i="7" s="1"/>
  <c r="F168" i="7"/>
  <c r="F169" i="7"/>
  <c r="F170" i="7"/>
  <c r="F171" i="7"/>
  <c r="F172" i="7"/>
  <c r="F173" i="7"/>
  <c r="L173" i="7" s="1"/>
  <c r="F174" i="7"/>
  <c r="F175" i="7"/>
  <c r="M175" i="7" s="1"/>
  <c r="F176" i="7"/>
  <c r="F177" i="7"/>
  <c r="F178" i="7"/>
  <c r="F179" i="7"/>
  <c r="F180" i="7"/>
  <c r="F181" i="7"/>
  <c r="L181" i="7" s="1"/>
  <c r="F182" i="7"/>
  <c r="F183" i="7"/>
  <c r="M183" i="7" s="1"/>
  <c r="F184" i="7"/>
  <c r="F185" i="7"/>
  <c r="F186" i="7"/>
  <c r="F187" i="7"/>
  <c r="F188" i="7"/>
  <c r="F189" i="7"/>
  <c r="L189" i="7" s="1"/>
  <c r="F190" i="7"/>
  <c r="F191" i="7"/>
  <c r="M191" i="7" s="1"/>
  <c r="F192" i="7"/>
  <c r="F193" i="7"/>
  <c r="F194" i="7"/>
  <c r="F195" i="7"/>
  <c r="F196" i="7"/>
  <c r="F197" i="7"/>
  <c r="L197" i="7" s="1"/>
  <c r="F198" i="7"/>
  <c r="F199" i="7"/>
  <c r="M199" i="7" s="1"/>
  <c r="F200" i="7"/>
  <c r="F201" i="7"/>
  <c r="F202" i="7"/>
  <c r="F203" i="7"/>
  <c r="F204" i="7"/>
  <c r="F205" i="7"/>
  <c r="L205" i="7" s="1"/>
  <c r="F206" i="7"/>
  <c r="F207" i="7"/>
  <c r="M207" i="7" s="1"/>
  <c r="F208" i="7"/>
  <c r="F209" i="7"/>
  <c r="F210" i="7"/>
  <c r="F211" i="7"/>
  <c r="F212" i="7"/>
  <c r="F213" i="7"/>
  <c r="L213" i="7" s="1"/>
  <c r="F214" i="7"/>
  <c r="F215" i="7"/>
  <c r="M215" i="7" s="1"/>
  <c r="F216" i="7"/>
  <c r="F217" i="7"/>
  <c r="F218" i="7"/>
  <c r="F219" i="7"/>
  <c r="F220" i="7"/>
  <c r="F221" i="7"/>
  <c r="L221" i="7" s="1"/>
  <c r="F222" i="7"/>
  <c r="F223" i="7"/>
  <c r="M223" i="7" s="1"/>
  <c r="F224" i="7"/>
  <c r="F225" i="7"/>
  <c r="F226" i="7"/>
  <c r="F227" i="7"/>
  <c r="F228" i="7"/>
  <c r="F229" i="7"/>
  <c r="L229" i="7" s="1"/>
  <c r="F230" i="7"/>
  <c r="F231" i="7"/>
  <c r="M231" i="7" s="1"/>
  <c r="F232" i="7"/>
  <c r="F233" i="7"/>
  <c r="F234" i="7"/>
  <c r="F235" i="7"/>
  <c r="F236" i="7"/>
  <c r="F237" i="7"/>
  <c r="L237" i="7" s="1"/>
  <c r="F238" i="7"/>
  <c r="F239" i="7"/>
  <c r="M239" i="7" s="1"/>
  <c r="F240" i="7"/>
  <c r="F241" i="7"/>
  <c r="F242" i="7"/>
  <c r="F243" i="7"/>
  <c r="F244" i="7"/>
  <c r="F245" i="7"/>
  <c r="L245" i="7" s="1"/>
  <c r="F246" i="7"/>
  <c r="F247" i="7"/>
  <c r="M247" i="7" s="1"/>
  <c r="F248" i="7"/>
  <c r="F249" i="7"/>
  <c r="F250" i="7"/>
  <c r="M250" i="7" s="1"/>
  <c r="F251" i="7"/>
  <c r="M251" i="7" s="1"/>
  <c r="F252" i="7"/>
  <c r="M252" i="7" s="1"/>
  <c r="F253" i="7"/>
  <c r="L253" i="7" s="1"/>
  <c r="F254" i="7"/>
  <c r="M254" i="7" s="1"/>
  <c r="F255" i="7"/>
  <c r="M255" i="7" s="1"/>
  <c r="F256" i="7"/>
  <c r="M256" i="7" s="1"/>
  <c r="F257" i="7"/>
  <c r="M257" i="7" s="1"/>
  <c r="F258" i="7"/>
  <c r="M258" i="7" s="1"/>
  <c r="F259" i="7"/>
  <c r="M259" i="7" s="1"/>
  <c r="F260" i="7"/>
  <c r="M260" i="7" s="1"/>
  <c r="F261" i="7"/>
  <c r="L261" i="7" s="1"/>
  <c r="F262" i="7"/>
  <c r="M262" i="7" s="1"/>
  <c r="F263" i="7"/>
  <c r="M263" i="7" s="1"/>
  <c r="F264" i="7"/>
  <c r="M264" i="7" s="1"/>
  <c r="F265" i="7"/>
  <c r="M265" i="7" s="1"/>
  <c r="F266" i="7"/>
  <c r="M266" i="7" s="1"/>
  <c r="F267" i="7"/>
  <c r="M267" i="7" s="1"/>
  <c r="F268" i="7"/>
  <c r="M268" i="7" s="1"/>
  <c r="F269" i="7"/>
  <c r="M269" i="7" s="1"/>
  <c r="F270" i="7"/>
  <c r="M270" i="7" s="1"/>
  <c r="F271" i="7"/>
  <c r="M271" i="7" s="1"/>
  <c r="F272" i="7"/>
  <c r="M272" i="7" s="1"/>
  <c r="F273" i="7"/>
  <c r="M273" i="7" s="1"/>
  <c r="F274" i="7"/>
  <c r="M274" i="7" s="1"/>
  <c r="F275" i="7"/>
  <c r="M275" i="7" s="1"/>
  <c r="F276" i="7"/>
  <c r="M276" i="7" s="1"/>
  <c r="F277" i="7"/>
  <c r="M277" i="7" s="1"/>
  <c r="F278" i="7"/>
  <c r="M278" i="7" s="1"/>
  <c r="F279" i="7"/>
  <c r="M279" i="7" s="1"/>
  <c r="F280" i="7"/>
  <c r="M280" i="7" s="1"/>
  <c r="F281" i="7"/>
  <c r="M281" i="7" s="1"/>
  <c r="F282" i="7"/>
  <c r="M282" i="7" s="1"/>
  <c r="F283" i="7"/>
  <c r="M283" i="7" s="1"/>
  <c r="F284" i="7"/>
  <c r="M284" i="7" s="1"/>
  <c r="F285" i="7"/>
  <c r="M285" i="7" s="1"/>
  <c r="F286" i="7"/>
  <c r="M286" i="7" s="1"/>
  <c r="F287" i="7"/>
  <c r="M287" i="7" s="1"/>
  <c r="F288" i="7"/>
  <c r="M288" i="7" s="1"/>
  <c r="F289" i="7"/>
  <c r="M289" i="7" s="1"/>
  <c r="F290" i="7"/>
  <c r="M290" i="7" s="1"/>
  <c r="F291" i="7"/>
  <c r="M291" i="7" s="1"/>
  <c r="F292" i="7"/>
  <c r="M292" i="7" s="1"/>
  <c r="F293" i="7"/>
  <c r="L293" i="7" s="1"/>
  <c r="F294" i="7"/>
  <c r="M294" i="7" s="1"/>
  <c r="F295" i="7"/>
  <c r="M295" i="7" s="1"/>
  <c r="F296" i="7"/>
  <c r="M296" i="7" s="1"/>
  <c r="F297" i="7"/>
  <c r="M297" i="7" s="1"/>
  <c r="F298" i="7"/>
  <c r="M298" i="7" s="1"/>
  <c r="F299" i="7"/>
  <c r="M299" i="7" s="1"/>
  <c r="F300" i="7"/>
  <c r="M300" i="7" s="1"/>
  <c r="F301" i="7"/>
  <c r="L301" i="7" s="1"/>
  <c r="F302" i="7"/>
  <c r="M302" i="7" s="1"/>
  <c r="F303" i="7"/>
  <c r="M303" i="7" s="1"/>
  <c r="F304" i="7"/>
  <c r="M304" i="7" s="1"/>
  <c r="F305" i="7"/>
  <c r="M305" i="7" s="1"/>
  <c r="F306" i="7"/>
  <c r="M306" i="7" s="1"/>
  <c r="F307" i="7"/>
  <c r="M307" i="7" s="1"/>
  <c r="F308" i="7"/>
  <c r="M308" i="7" s="1"/>
  <c r="F309" i="7"/>
  <c r="L309" i="7" s="1"/>
  <c r="F310" i="7"/>
  <c r="M310" i="7" s="1"/>
  <c r="F311" i="7"/>
  <c r="M311" i="7" s="1"/>
  <c r="F312" i="7"/>
  <c r="M312" i="7" s="1"/>
  <c r="F313" i="7"/>
  <c r="M313" i="7" s="1"/>
  <c r="F314" i="7"/>
  <c r="M314" i="7" s="1"/>
  <c r="F315" i="7"/>
  <c r="M315" i="7" s="1"/>
  <c r="F316" i="7"/>
  <c r="M316" i="7" s="1"/>
  <c r="F317" i="7"/>
  <c r="L317" i="7" s="1"/>
  <c r="F318" i="7"/>
  <c r="M318" i="7" s="1"/>
  <c r="F319" i="7"/>
  <c r="M319" i="7" s="1"/>
  <c r="F320" i="7"/>
  <c r="M320" i="7" s="1"/>
  <c r="F321" i="7"/>
  <c r="M321" i="7" s="1"/>
  <c r="F322" i="7"/>
  <c r="M322" i="7" s="1"/>
  <c r="F323" i="7"/>
  <c r="M323" i="7" s="1"/>
  <c r="F324" i="7"/>
  <c r="M324" i="7" s="1"/>
  <c r="F325" i="7"/>
  <c r="L325" i="7" s="1"/>
  <c r="F326" i="7"/>
  <c r="M326" i="7" s="1"/>
  <c r="F327" i="7"/>
  <c r="M327" i="7" s="1"/>
  <c r="F328" i="7"/>
  <c r="M328" i="7" s="1"/>
  <c r="F329" i="7"/>
  <c r="M329" i="7" s="1"/>
  <c r="F330" i="7"/>
  <c r="M330" i="7" s="1"/>
  <c r="F331" i="7"/>
  <c r="M331" i="7" s="1"/>
  <c r="F332" i="7"/>
  <c r="M332" i="7" s="1"/>
  <c r="F333" i="7"/>
  <c r="M333" i="7" s="1"/>
  <c r="F334" i="7"/>
  <c r="M334" i="7" s="1"/>
  <c r="F335" i="7"/>
  <c r="M335" i="7" s="1"/>
  <c r="F336" i="7"/>
  <c r="M336" i="7" s="1"/>
  <c r="F337" i="7"/>
  <c r="M337" i="7" s="1"/>
  <c r="F338" i="7"/>
  <c r="M338" i="7" s="1"/>
  <c r="F339" i="7"/>
  <c r="M339" i="7" s="1"/>
  <c r="F340" i="7"/>
  <c r="M340" i="7" s="1"/>
  <c r="F341" i="7"/>
  <c r="M341" i="7" s="1"/>
  <c r="F342" i="7"/>
  <c r="M342" i="7" s="1"/>
  <c r="F343" i="7"/>
  <c r="M343" i="7" s="1"/>
  <c r="F344" i="7"/>
  <c r="M344" i="7" s="1"/>
  <c r="F345" i="7"/>
  <c r="M345" i="7" s="1"/>
  <c r="F346" i="7"/>
  <c r="M346" i="7" s="1"/>
  <c r="F347" i="7"/>
  <c r="M347" i="7" s="1"/>
  <c r="F348" i="7"/>
  <c r="M348" i="7" s="1"/>
  <c r="F349" i="7"/>
  <c r="M349" i="7" s="1"/>
  <c r="F350" i="7"/>
  <c r="M350" i="7" s="1"/>
  <c r="F351" i="7"/>
  <c r="M351" i="7" s="1"/>
  <c r="F352" i="7"/>
  <c r="M352" i="7" s="1"/>
  <c r="F353" i="7"/>
  <c r="M353" i="7" s="1"/>
  <c r="F354" i="7"/>
  <c r="M354" i="7" s="1"/>
  <c r="F355" i="7"/>
  <c r="M355" i="7" s="1"/>
  <c r="F356" i="7"/>
  <c r="M356" i="7" s="1"/>
  <c r="F357" i="7"/>
  <c r="L357" i="7" s="1"/>
  <c r="F358" i="7"/>
  <c r="M358" i="7" s="1"/>
  <c r="F359" i="7"/>
  <c r="M359" i="7" s="1"/>
  <c r="F360" i="7"/>
  <c r="M360" i="7" s="1"/>
  <c r="F361" i="7"/>
  <c r="M361" i="7" s="1"/>
  <c r="F362" i="7"/>
  <c r="M362" i="7" s="1"/>
  <c r="F363" i="7"/>
  <c r="M363" i="7" s="1"/>
  <c r="F364" i="7"/>
  <c r="M364" i="7" s="1"/>
  <c r="F365" i="7"/>
  <c r="L365" i="7" s="1"/>
  <c r="F366" i="7"/>
  <c r="M366" i="7" s="1"/>
  <c r="F367" i="7"/>
  <c r="M367" i="7" s="1"/>
  <c r="F368" i="7"/>
  <c r="M368" i="7" s="1"/>
  <c r="F369" i="7"/>
  <c r="M369" i="7" s="1"/>
  <c r="F370" i="7"/>
  <c r="M370" i="7" s="1"/>
  <c r="F371" i="7"/>
  <c r="M371" i="7" s="1"/>
  <c r="F372" i="7"/>
  <c r="M372" i="7" s="1"/>
  <c r="F373" i="7"/>
  <c r="L373" i="7" s="1"/>
  <c r="F374" i="7"/>
  <c r="M374" i="7" s="1"/>
  <c r="F375" i="7"/>
  <c r="M375" i="7" s="1"/>
  <c r="F376" i="7"/>
  <c r="M376" i="7" s="1"/>
  <c r="F377" i="7"/>
  <c r="M377" i="7" s="1"/>
  <c r="F378" i="7"/>
  <c r="M378" i="7" s="1"/>
  <c r="F379" i="7"/>
  <c r="M379" i="7" s="1"/>
  <c r="F380" i="7"/>
  <c r="M380" i="7" s="1"/>
  <c r="F381" i="7"/>
  <c r="L381" i="7" s="1"/>
  <c r="F382" i="7"/>
  <c r="M382" i="7" s="1"/>
  <c r="F383" i="7"/>
  <c r="M383" i="7" s="1"/>
  <c r="F384" i="7"/>
  <c r="M384" i="7" s="1"/>
  <c r="F385" i="7"/>
  <c r="M385" i="7" s="1"/>
  <c r="F386" i="7"/>
  <c r="M386" i="7" s="1"/>
  <c r="F387" i="7"/>
  <c r="M387" i="7" s="1"/>
  <c r="F388" i="7"/>
  <c r="M388" i="7" s="1"/>
  <c r="F389" i="7"/>
  <c r="L389" i="7" s="1"/>
  <c r="F390" i="7"/>
  <c r="M390" i="7" s="1"/>
  <c r="F391" i="7"/>
  <c r="M391" i="7" s="1"/>
  <c r="F392" i="7"/>
  <c r="M392" i="7" s="1"/>
  <c r="F393" i="7"/>
  <c r="M393" i="7" s="1"/>
  <c r="F394" i="7"/>
  <c r="M394" i="7" s="1"/>
  <c r="F395" i="7"/>
  <c r="M395" i="7" s="1"/>
  <c r="F396" i="7"/>
  <c r="M396" i="7" s="1"/>
  <c r="F397" i="7"/>
  <c r="M397" i="7" s="1"/>
  <c r="F398" i="7"/>
  <c r="M398" i="7" s="1"/>
  <c r="F399" i="7"/>
  <c r="M399" i="7" s="1"/>
  <c r="F400" i="7"/>
  <c r="M400" i="7" s="1"/>
  <c r="F401" i="7"/>
  <c r="M401" i="7" s="1"/>
  <c r="F402" i="7"/>
  <c r="M402" i="7" s="1"/>
  <c r="F403" i="7"/>
  <c r="M403" i="7" s="1"/>
  <c r="F404" i="7"/>
  <c r="M404" i="7" s="1"/>
  <c r="F405" i="7"/>
  <c r="M405" i="7" s="1"/>
  <c r="F406" i="7"/>
  <c r="M406" i="7" s="1"/>
  <c r="F407" i="7"/>
  <c r="M407" i="7" s="1"/>
  <c r="F408" i="7"/>
  <c r="M408" i="7" s="1"/>
  <c r="F409" i="7"/>
  <c r="M409" i="7" s="1"/>
  <c r="F410" i="7"/>
  <c r="M410" i="7" s="1"/>
  <c r="F411" i="7"/>
  <c r="M411" i="7" s="1"/>
  <c r="F412" i="7"/>
  <c r="M412" i="7" s="1"/>
  <c r="F413" i="7"/>
  <c r="M413" i="7" s="1"/>
  <c r="F414" i="7"/>
  <c r="M414" i="7" s="1"/>
  <c r="F415" i="7"/>
  <c r="M415" i="7" s="1"/>
  <c r="F416" i="7"/>
  <c r="M416" i="7" s="1"/>
  <c r="F417" i="7"/>
  <c r="M417" i="7" s="1"/>
  <c r="F418" i="7"/>
  <c r="M418" i="7" s="1"/>
  <c r="F419" i="7"/>
  <c r="M419" i="7" s="1"/>
  <c r="F420" i="7"/>
  <c r="M420" i="7" s="1"/>
  <c r="F421" i="7"/>
  <c r="L421" i="7" s="1"/>
  <c r="F422" i="7"/>
  <c r="M422" i="7" s="1"/>
  <c r="F423" i="7"/>
  <c r="M423" i="7" s="1"/>
  <c r="F424" i="7"/>
  <c r="M424" i="7" s="1"/>
  <c r="F425" i="7"/>
  <c r="M425" i="7" s="1"/>
  <c r="F426" i="7"/>
  <c r="M426" i="7" s="1"/>
  <c r="F427" i="7"/>
  <c r="M427" i="7" s="1"/>
  <c r="F428" i="7"/>
  <c r="M428" i="7" s="1"/>
  <c r="F429" i="7"/>
  <c r="L429" i="7" s="1"/>
  <c r="F430" i="7"/>
  <c r="M430" i="7" s="1"/>
  <c r="F431" i="7"/>
  <c r="M431" i="7" s="1"/>
  <c r="F432" i="7"/>
  <c r="M432" i="7" s="1"/>
  <c r="F433" i="7"/>
  <c r="M433" i="7" s="1"/>
  <c r="F434" i="7"/>
  <c r="M434" i="7" s="1"/>
  <c r="F435" i="7"/>
  <c r="M435" i="7" s="1"/>
  <c r="F436" i="7"/>
  <c r="M436" i="7" s="1"/>
  <c r="F437" i="7"/>
  <c r="L437" i="7" s="1"/>
  <c r="F438" i="7"/>
  <c r="M438" i="7" s="1"/>
  <c r="F439" i="7"/>
  <c r="M439" i="7" s="1"/>
  <c r="F440" i="7"/>
  <c r="M440" i="7" s="1"/>
  <c r="F441" i="7"/>
  <c r="M441" i="7" s="1"/>
  <c r="F442" i="7"/>
  <c r="M442" i="7" s="1"/>
  <c r="F443" i="7"/>
  <c r="M443" i="7" s="1"/>
  <c r="F444" i="7"/>
  <c r="M444" i="7" s="1"/>
  <c r="F445" i="7"/>
  <c r="L445" i="7" s="1"/>
  <c r="F446" i="7"/>
  <c r="M446" i="7" s="1"/>
  <c r="F447" i="7"/>
  <c r="M447" i="7" s="1"/>
  <c r="F448" i="7"/>
  <c r="M448" i="7" s="1"/>
  <c r="F449" i="7"/>
  <c r="M449" i="7" s="1"/>
  <c r="F450" i="7"/>
  <c r="M450" i="7" s="1"/>
  <c r="F451" i="7"/>
  <c r="M451" i="7" s="1"/>
  <c r="F452" i="7"/>
  <c r="M452" i="7" s="1"/>
  <c r="F453" i="7"/>
  <c r="L453" i="7" s="1"/>
  <c r="F454" i="7"/>
  <c r="M454" i="7" s="1"/>
  <c r="F455" i="7"/>
  <c r="M455" i="7" s="1"/>
  <c r="F456" i="7"/>
  <c r="M456" i="7" s="1"/>
  <c r="F457" i="7"/>
  <c r="M457" i="7" s="1"/>
  <c r="F458" i="7"/>
  <c r="M458" i="7" s="1"/>
  <c r="F459" i="7"/>
  <c r="M459" i="7" s="1"/>
  <c r="F460" i="7"/>
  <c r="M460" i="7" s="1"/>
  <c r="F461" i="7"/>
  <c r="M461" i="7" s="1"/>
  <c r="F462" i="7"/>
  <c r="M462" i="7" s="1"/>
  <c r="F463" i="7"/>
  <c r="M463" i="7" s="1"/>
  <c r="F464" i="7"/>
  <c r="M464" i="7" s="1"/>
  <c r="F465" i="7"/>
  <c r="M465" i="7" s="1"/>
  <c r="F466" i="7"/>
  <c r="M466" i="7" s="1"/>
  <c r="F467" i="7"/>
  <c r="M467" i="7" s="1"/>
  <c r="F468" i="7"/>
  <c r="M468" i="7" s="1"/>
  <c r="F469" i="7"/>
  <c r="M469" i="7" s="1"/>
  <c r="F470" i="7"/>
  <c r="M470" i="7" s="1"/>
  <c r="F471" i="7"/>
  <c r="M471" i="7" s="1"/>
  <c r="F472" i="7"/>
  <c r="M472" i="7" s="1"/>
  <c r="F473" i="7"/>
  <c r="M473" i="7" s="1"/>
  <c r="F474" i="7"/>
  <c r="M474" i="7" s="1"/>
  <c r="F475" i="7"/>
  <c r="M475" i="7" s="1"/>
  <c r="F476" i="7"/>
  <c r="M476" i="7" s="1"/>
  <c r="F477" i="7"/>
  <c r="M477" i="7" s="1"/>
  <c r="F478" i="7"/>
  <c r="M478" i="7" s="1"/>
  <c r="F479" i="7"/>
  <c r="M479" i="7" s="1"/>
  <c r="F480" i="7"/>
  <c r="M480" i="7" s="1"/>
  <c r="F481" i="7"/>
  <c r="M481" i="7" s="1"/>
  <c r="F482" i="7"/>
  <c r="M482" i="7" s="1"/>
  <c r="F483" i="7"/>
  <c r="M483" i="7" s="1"/>
  <c r="F484" i="7"/>
  <c r="M484" i="7" s="1"/>
  <c r="F485" i="7"/>
  <c r="L485" i="7" s="1"/>
  <c r="F486" i="7"/>
  <c r="M486" i="7" s="1"/>
  <c r="F487" i="7"/>
  <c r="M487" i="7" s="1"/>
  <c r="F488" i="7"/>
  <c r="M488" i="7" s="1"/>
  <c r="F489" i="7"/>
  <c r="M489" i="7" s="1"/>
  <c r="F490" i="7"/>
  <c r="M490" i="7" s="1"/>
  <c r="F491" i="7"/>
  <c r="M491" i="7" s="1"/>
  <c r="F492" i="7"/>
  <c r="M492" i="7" s="1"/>
  <c r="F493" i="7"/>
  <c r="L493" i="7" s="1"/>
  <c r="F494" i="7"/>
  <c r="M494" i="7" s="1"/>
  <c r="F495" i="7"/>
  <c r="M495" i="7" s="1"/>
  <c r="F496" i="7"/>
  <c r="M496" i="7" s="1"/>
  <c r="F497" i="7"/>
  <c r="M497" i="7" s="1"/>
  <c r="F498" i="7"/>
  <c r="M498" i="7" s="1"/>
  <c r="F499" i="7"/>
  <c r="M499" i="7" s="1"/>
  <c r="F500" i="7"/>
  <c r="M500" i="7" s="1"/>
  <c r="F501" i="7"/>
  <c r="L501" i="7" s="1"/>
  <c r="F502" i="7"/>
  <c r="M502" i="7" s="1"/>
  <c r="F503" i="7"/>
  <c r="M503" i="7" s="1"/>
  <c r="F504" i="7"/>
  <c r="M504" i="7" s="1"/>
  <c r="F505" i="7"/>
  <c r="M505" i="7" s="1"/>
  <c r="F506" i="7"/>
  <c r="M506" i="7" s="1"/>
  <c r="F507" i="7"/>
  <c r="M507" i="7" s="1"/>
  <c r="F508" i="7"/>
  <c r="M508" i="7" s="1"/>
  <c r="F509" i="7"/>
  <c r="L509" i="7" s="1"/>
  <c r="F510" i="7"/>
  <c r="M510" i="7" s="1"/>
  <c r="F511" i="7"/>
  <c r="M511" i="7" s="1"/>
  <c r="F512" i="7"/>
  <c r="M512" i="7" s="1"/>
  <c r="F513" i="7"/>
  <c r="M513" i="7" s="1"/>
  <c r="F514" i="7"/>
  <c r="M514" i="7" s="1"/>
  <c r="F515" i="7"/>
  <c r="M515" i="7" s="1"/>
  <c r="F516" i="7"/>
  <c r="M516" i="7" s="1"/>
  <c r="F517" i="7"/>
  <c r="L517" i="7" s="1"/>
  <c r="F518" i="7"/>
  <c r="M518" i="7" s="1"/>
  <c r="F519" i="7"/>
  <c r="M519" i="7" s="1"/>
  <c r="F520" i="7"/>
  <c r="M520" i="7" s="1"/>
  <c r="F521" i="7"/>
  <c r="M521" i="7" s="1"/>
  <c r="F522" i="7"/>
  <c r="M522" i="7" s="1"/>
  <c r="F523" i="7"/>
  <c r="M523" i="7" s="1"/>
  <c r="F524" i="7"/>
  <c r="M524" i="7" s="1"/>
  <c r="F525" i="7"/>
  <c r="M525" i="7" s="1"/>
  <c r="F526" i="7"/>
  <c r="M526" i="7" s="1"/>
  <c r="F527" i="7"/>
  <c r="M527" i="7" s="1"/>
  <c r="F528" i="7"/>
  <c r="M528" i="7" s="1"/>
  <c r="F529" i="7"/>
  <c r="M529" i="7" s="1"/>
  <c r="F530" i="7"/>
  <c r="M530" i="7" s="1"/>
  <c r="F531" i="7"/>
  <c r="M531" i="7" s="1"/>
  <c r="F532" i="7"/>
  <c r="M532" i="7" s="1"/>
  <c r="F533" i="7"/>
  <c r="M533" i="7" s="1"/>
  <c r="F534" i="7"/>
  <c r="M534" i="7" s="1"/>
  <c r="F535" i="7"/>
  <c r="M535" i="7" s="1"/>
  <c r="F536" i="7"/>
  <c r="M536" i="7" s="1"/>
  <c r="F537" i="7"/>
  <c r="M537" i="7" s="1"/>
  <c r="F538" i="7"/>
  <c r="M538" i="7" s="1"/>
  <c r="F539" i="7"/>
  <c r="M539" i="7" s="1"/>
  <c r="F540" i="7"/>
  <c r="M540" i="7" s="1"/>
  <c r="F541" i="7"/>
  <c r="M541" i="7" s="1"/>
  <c r="F542" i="7"/>
  <c r="M542" i="7" s="1"/>
  <c r="F543" i="7"/>
  <c r="M543" i="7" s="1"/>
  <c r="F544" i="7"/>
  <c r="M544" i="7" s="1"/>
  <c r="F545" i="7"/>
  <c r="M545" i="7" s="1"/>
  <c r="F546" i="7"/>
  <c r="M546" i="7" s="1"/>
  <c r="F547" i="7"/>
  <c r="M547" i="7" s="1"/>
  <c r="F548" i="7"/>
  <c r="M548" i="7" s="1"/>
  <c r="F549" i="7"/>
  <c r="L549" i="7" s="1"/>
  <c r="F550" i="7"/>
  <c r="M550" i="7" s="1"/>
  <c r="F551" i="7"/>
  <c r="M551" i="7" s="1"/>
  <c r="F552" i="7"/>
  <c r="M552" i="7" s="1"/>
  <c r="F553" i="7"/>
  <c r="M553" i="7" s="1"/>
  <c r="F554" i="7"/>
  <c r="M554" i="7" s="1"/>
  <c r="F555" i="7"/>
  <c r="M555" i="7" s="1"/>
  <c r="F556" i="7"/>
  <c r="M556" i="7" s="1"/>
  <c r="F557" i="7"/>
  <c r="L557" i="7" s="1"/>
  <c r="F558" i="7"/>
  <c r="M558" i="7" s="1"/>
  <c r="F559" i="7"/>
  <c r="M559" i="7" s="1"/>
  <c r="F560" i="7"/>
  <c r="M560" i="7" s="1"/>
  <c r="F561" i="7"/>
  <c r="M561" i="7" s="1"/>
  <c r="F562" i="7"/>
  <c r="M562" i="7" s="1"/>
  <c r="F563" i="7"/>
  <c r="M563" i="7" s="1"/>
  <c r="F564" i="7"/>
  <c r="M564" i="7" s="1"/>
  <c r="F565" i="7"/>
  <c r="L565" i="7" s="1"/>
  <c r="F566" i="7"/>
  <c r="M566" i="7" s="1"/>
  <c r="F567" i="7"/>
  <c r="M567" i="7" s="1"/>
  <c r="F568" i="7"/>
  <c r="M568" i="7" s="1"/>
  <c r="F569" i="7"/>
  <c r="M569" i="7" s="1"/>
  <c r="F570" i="7"/>
  <c r="M570" i="7" s="1"/>
  <c r="F571" i="7"/>
  <c r="M571" i="7" s="1"/>
  <c r="F572" i="7"/>
  <c r="M572" i="7" s="1"/>
  <c r="F573" i="7"/>
  <c r="L573" i="7" s="1"/>
  <c r="F574" i="7"/>
  <c r="M574" i="7" s="1"/>
  <c r="F575" i="7"/>
  <c r="M575" i="7" s="1"/>
  <c r="F576" i="7"/>
  <c r="M576" i="7" s="1"/>
  <c r="F577" i="7"/>
  <c r="M577" i="7" s="1"/>
  <c r="F578" i="7"/>
  <c r="M578" i="7" s="1"/>
  <c r="F579" i="7"/>
  <c r="M579" i="7" s="1"/>
  <c r="F580" i="7"/>
  <c r="M580" i="7" s="1"/>
  <c r="F581" i="7"/>
  <c r="L581" i="7" s="1"/>
  <c r="F582" i="7"/>
  <c r="M582" i="7" s="1"/>
  <c r="F583" i="7"/>
  <c r="M583" i="7" s="1"/>
  <c r="F584" i="7"/>
  <c r="M584" i="7" s="1"/>
  <c r="F585" i="7"/>
  <c r="M585" i="7" s="1"/>
  <c r="F586" i="7"/>
  <c r="M586" i="7" s="1"/>
  <c r="F587" i="7"/>
  <c r="M587" i="7" s="1"/>
  <c r="F588" i="7"/>
  <c r="M588" i="7" s="1"/>
  <c r="F589" i="7"/>
  <c r="M589" i="7" s="1"/>
  <c r="F590" i="7"/>
  <c r="M590" i="7" s="1"/>
  <c r="F591" i="7"/>
  <c r="M591" i="7" s="1"/>
  <c r="F592" i="7"/>
  <c r="M592" i="7" s="1"/>
  <c r="F593" i="7"/>
  <c r="M593" i="7" s="1"/>
  <c r="F594" i="7"/>
  <c r="M594" i="7" s="1"/>
  <c r="F595" i="7"/>
  <c r="M595" i="7" s="1"/>
  <c r="F596" i="7"/>
  <c r="M596" i="7" s="1"/>
  <c r="F597" i="7"/>
  <c r="M597" i="7" s="1"/>
  <c r="F598" i="7"/>
  <c r="M598" i="7" s="1"/>
  <c r="F599" i="7"/>
  <c r="M599" i="7" s="1"/>
  <c r="F600" i="7"/>
  <c r="M600" i="7" s="1"/>
  <c r="F601" i="7"/>
  <c r="M601" i="7" s="1"/>
  <c r="F602" i="7"/>
  <c r="M602" i="7" s="1"/>
  <c r="F603" i="7"/>
  <c r="M603" i="7" s="1"/>
  <c r="F604" i="7"/>
  <c r="M604" i="7" s="1"/>
  <c r="F605" i="7"/>
  <c r="M605" i="7" s="1"/>
  <c r="F6" i="7"/>
  <c r="C18" i="9" s="1"/>
  <c r="A32" i="6"/>
  <c r="B32" i="6"/>
  <c r="A33" i="6"/>
  <c r="B33" i="6"/>
  <c r="A34" i="6"/>
  <c r="B34" i="6"/>
  <c r="A35" i="6"/>
  <c r="B35" i="6"/>
  <c r="A36" i="6"/>
  <c r="B36" i="6"/>
  <c r="A37" i="6"/>
  <c r="B37" i="6"/>
  <c r="A38" i="6"/>
  <c r="B38" i="6"/>
  <c r="A39" i="6"/>
  <c r="B39" i="6"/>
  <c r="A40" i="6"/>
  <c r="B40" i="6"/>
  <c r="A41" i="6"/>
  <c r="B41" i="6"/>
  <c r="A42" i="6"/>
  <c r="B42" i="6"/>
  <c r="A43" i="6"/>
  <c r="B43" i="6"/>
  <c r="A44" i="6"/>
  <c r="B44" i="6"/>
  <c r="A45" i="6"/>
  <c r="B45" i="6"/>
  <c r="A46" i="6"/>
  <c r="B46" i="6"/>
  <c r="A47" i="6"/>
  <c r="B47" i="6"/>
  <c r="A48" i="6"/>
  <c r="B48" i="6"/>
  <c r="A49" i="6"/>
  <c r="B49" i="6"/>
  <c r="A50" i="6"/>
  <c r="B50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A26" i="6"/>
  <c r="B26" i="6"/>
  <c r="A27" i="6"/>
  <c r="B27" i="6"/>
  <c r="A28" i="6"/>
  <c r="B28" i="6"/>
  <c r="A29" i="6"/>
  <c r="B29" i="6"/>
  <c r="A30" i="6"/>
  <c r="B30" i="6"/>
  <c r="A31" i="6"/>
  <c r="B31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B2" i="6"/>
  <c r="A2" i="6"/>
  <c r="BP602" i="3"/>
  <c r="BG2" i="5" s="1"/>
  <c r="E27" i="5" s="1"/>
  <c r="BL602" i="3"/>
  <c r="BC2" i="5" s="1"/>
  <c r="E25" i="5" s="1"/>
  <c r="BH602" i="3"/>
  <c r="AY2" i="5" s="1"/>
  <c r="E23" i="5" s="1"/>
  <c r="BD602" i="3"/>
  <c r="AU2" i="5" s="1"/>
  <c r="E21" i="5" s="1"/>
  <c r="AZ602" i="3"/>
  <c r="AQ2" i="5" s="1"/>
  <c r="E19" i="5" s="1"/>
  <c r="AV602" i="3"/>
  <c r="AM2" i="5" s="1"/>
  <c r="AR602" i="3"/>
  <c r="AI2" i="5" s="1"/>
  <c r="E15" i="5" s="1"/>
  <c r="AN602" i="3"/>
  <c r="AE2" i="5" s="1"/>
  <c r="AJ602" i="3"/>
  <c r="AA2" i="5" s="1"/>
  <c r="E11" i="5" s="1"/>
  <c r="AF602" i="3"/>
  <c r="W2" i="5" s="1"/>
  <c r="E9" i="5" s="1"/>
  <c r="AB602" i="3"/>
  <c r="S2" i="5" s="1"/>
  <c r="E7" i="5" s="1"/>
  <c r="X602" i="3"/>
  <c r="O2" i="5" s="1"/>
  <c r="E5" i="5" s="1"/>
  <c r="BO602" i="3"/>
  <c r="BQ602" i="3" s="1"/>
  <c r="BH2" i="5" s="1"/>
  <c r="G27" i="5" s="1"/>
  <c r="BK602" i="3"/>
  <c r="BM602" i="3" s="1"/>
  <c r="BD2" i="5" s="1"/>
  <c r="G25" i="5" s="1"/>
  <c r="BG602" i="3"/>
  <c r="BI602" i="3" s="1"/>
  <c r="AZ2" i="5" s="1"/>
  <c r="G23" i="5" s="1"/>
  <c r="BC602" i="3"/>
  <c r="AY602" i="3"/>
  <c r="AP2" i="5" s="1"/>
  <c r="C19" i="5" s="1"/>
  <c r="AU602" i="3"/>
  <c r="AW602" i="3" s="1"/>
  <c r="AN2" i="5" s="1"/>
  <c r="G17" i="5" s="1"/>
  <c r="AQ602" i="3"/>
  <c r="AH2" i="5" s="1"/>
  <c r="C15" i="5" s="1"/>
  <c r="AM602" i="3"/>
  <c r="AD2" i="5" s="1"/>
  <c r="C13" i="5" s="1"/>
  <c r="AI602" i="3"/>
  <c r="AK602" i="3" s="1"/>
  <c r="AB2" i="5" s="1"/>
  <c r="G11" i="5" s="1"/>
  <c r="AE602" i="3"/>
  <c r="AG602" i="3" s="1"/>
  <c r="X2" i="5" s="1"/>
  <c r="G9" i="5" s="1"/>
  <c r="AA602" i="3"/>
  <c r="W602" i="3"/>
  <c r="N2" i="5" s="1"/>
  <c r="C5" i="5" s="1"/>
  <c r="AC602" i="3" l="1"/>
  <c r="T2" i="5" s="1"/>
  <c r="G7" i="5" s="1"/>
  <c r="E13" i="5"/>
  <c r="E17" i="5"/>
  <c r="Z2" i="5"/>
  <c r="C11" i="5" s="1"/>
  <c r="BF2" i="5"/>
  <c r="C27" i="5" s="1"/>
  <c r="AL2" i="5"/>
  <c r="C17" i="5" s="1"/>
  <c r="R2" i="5"/>
  <c r="C7" i="5" s="1"/>
  <c r="AX2" i="5"/>
  <c r="C23" i="5" s="1"/>
  <c r="V2" i="5"/>
  <c r="C9" i="5" s="1"/>
  <c r="BB2" i="5"/>
  <c r="C25" i="5" s="1"/>
  <c r="BA602" i="3"/>
  <c r="AR2" i="5" s="1"/>
  <c r="G19" i="5" s="1"/>
  <c r="BE602" i="3"/>
  <c r="AV2" i="5" s="1"/>
  <c r="G21" i="5" s="1"/>
  <c r="AT2" i="5"/>
  <c r="C21" i="5" s="1"/>
  <c r="L242" i="7"/>
  <c r="M242" i="7"/>
  <c r="L178" i="7"/>
  <c r="M178" i="7"/>
  <c r="L130" i="7"/>
  <c r="M130" i="7"/>
  <c r="L243" i="7"/>
  <c r="M243" i="7"/>
  <c r="L235" i="7"/>
  <c r="M235" i="7"/>
  <c r="L227" i="7"/>
  <c r="M227" i="7"/>
  <c r="L219" i="7"/>
  <c r="M219" i="7"/>
  <c r="L211" i="7"/>
  <c r="M211" i="7"/>
  <c r="L203" i="7"/>
  <c r="M203" i="7"/>
  <c r="L195" i="7"/>
  <c r="M195" i="7"/>
  <c r="L187" i="7"/>
  <c r="M187" i="7"/>
  <c r="L179" i="7"/>
  <c r="M179" i="7"/>
  <c r="L171" i="7"/>
  <c r="M171" i="7"/>
  <c r="L163" i="7"/>
  <c r="M163" i="7"/>
  <c r="L155" i="7"/>
  <c r="M155" i="7"/>
  <c r="L147" i="7"/>
  <c r="M147" i="7"/>
  <c r="L139" i="7"/>
  <c r="M139" i="7"/>
  <c r="L131" i="7"/>
  <c r="M131" i="7"/>
  <c r="L123" i="7"/>
  <c r="M123" i="7"/>
  <c r="L115" i="7"/>
  <c r="M115" i="7"/>
  <c r="L602" i="7"/>
  <c r="L594" i="7"/>
  <c r="L586" i="7"/>
  <c r="L578" i="7"/>
  <c r="L570" i="7"/>
  <c r="L562" i="7"/>
  <c r="L554" i="7"/>
  <c r="L546" i="7"/>
  <c r="L538" i="7"/>
  <c r="L530" i="7"/>
  <c r="L522" i="7"/>
  <c r="L514" i="7"/>
  <c r="L506" i="7"/>
  <c r="L498" i="7"/>
  <c r="L490" i="7"/>
  <c r="L482" i="7"/>
  <c r="L474" i="7"/>
  <c r="L466" i="7"/>
  <c r="L458" i="7"/>
  <c r="L450" i="7"/>
  <c r="L442" i="7"/>
  <c r="L434" i="7"/>
  <c r="L426" i="7"/>
  <c r="L418" i="7"/>
  <c r="L410" i="7"/>
  <c r="L402" i="7"/>
  <c r="L394" i="7"/>
  <c r="L386" i="7"/>
  <c r="L378" i="7"/>
  <c r="L370" i="7"/>
  <c r="L362" i="7"/>
  <c r="L354" i="7"/>
  <c r="L346" i="7"/>
  <c r="L338" i="7"/>
  <c r="L330" i="7"/>
  <c r="L322" i="7"/>
  <c r="L314" i="7"/>
  <c r="L306" i="7"/>
  <c r="L298" i="7"/>
  <c r="L290" i="7"/>
  <c r="L282" i="7"/>
  <c r="L274" i="7"/>
  <c r="L266" i="7"/>
  <c r="L258" i="7"/>
  <c r="L250" i="7"/>
  <c r="L191" i="7"/>
  <c r="L127" i="7"/>
  <c r="M581" i="7"/>
  <c r="M517" i="7"/>
  <c r="M453" i="7"/>
  <c r="M389" i="7"/>
  <c r="M325" i="7"/>
  <c r="M261" i="7"/>
  <c r="M197" i="7"/>
  <c r="M133" i="7"/>
  <c r="L226" i="7"/>
  <c r="M226" i="7"/>
  <c r="L162" i="7"/>
  <c r="M162" i="7"/>
  <c r="L249" i="7"/>
  <c r="M249" i="7"/>
  <c r="L241" i="7"/>
  <c r="M241" i="7"/>
  <c r="L233" i="7"/>
  <c r="M233" i="7"/>
  <c r="L225" i="7"/>
  <c r="M225" i="7"/>
  <c r="L217" i="7"/>
  <c r="M217" i="7"/>
  <c r="L209" i="7"/>
  <c r="M209" i="7"/>
  <c r="L201" i="7"/>
  <c r="M201" i="7"/>
  <c r="L193" i="7"/>
  <c r="M193" i="7"/>
  <c r="L185" i="7"/>
  <c r="M185" i="7"/>
  <c r="L177" i="7"/>
  <c r="M177" i="7"/>
  <c r="L169" i="7"/>
  <c r="M169" i="7"/>
  <c r="L161" i="7"/>
  <c r="M161" i="7"/>
  <c r="L153" i="7"/>
  <c r="M153" i="7"/>
  <c r="L145" i="7"/>
  <c r="M145" i="7"/>
  <c r="L137" i="7"/>
  <c r="M137" i="7"/>
  <c r="L129" i="7"/>
  <c r="M129" i="7"/>
  <c r="L121" i="7"/>
  <c r="M121" i="7"/>
  <c r="L600" i="7"/>
  <c r="L592" i="7"/>
  <c r="L584" i="7"/>
  <c r="L576" i="7"/>
  <c r="L568" i="7"/>
  <c r="L560" i="7"/>
  <c r="L552" i="7"/>
  <c r="L544" i="7"/>
  <c r="L536" i="7"/>
  <c r="L528" i="7"/>
  <c r="L520" i="7"/>
  <c r="L512" i="7"/>
  <c r="L504" i="7"/>
  <c r="L496" i="7"/>
  <c r="L488" i="7"/>
  <c r="L480" i="7"/>
  <c r="L472" i="7"/>
  <c r="L464" i="7"/>
  <c r="L456" i="7"/>
  <c r="L448" i="7"/>
  <c r="L440" i="7"/>
  <c r="L432" i="7"/>
  <c r="L424" i="7"/>
  <c r="L416" i="7"/>
  <c r="L408" i="7"/>
  <c r="L400" i="7"/>
  <c r="L392" i="7"/>
  <c r="L384" i="7"/>
  <c r="L376" i="7"/>
  <c r="L368" i="7"/>
  <c r="L360" i="7"/>
  <c r="L352" i="7"/>
  <c r="L344" i="7"/>
  <c r="L336" i="7"/>
  <c r="L328" i="7"/>
  <c r="L320" i="7"/>
  <c r="L312" i="7"/>
  <c r="L304" i="7"/>
  <c r="L296" i="7"/>
  <c r="L288" i="7"/>
  <c r="L280" i="7"/>
  <c r="L272" i="7"/>
  <c r="L264" i="7"/>
  <c r="L256" i="7"/>
  <c r="L239" i="7"/>
  <c r="L175" i="7"/>
  <c r="L102" i="7"/>
  <c r="M565" i="7"/>
  <c r="M501" i="7"/>
  <c r="M437" i="7"/>
  <c r="M373" i="7"/>
  <c r="M309" i="7"/>
  <c r="M245" i="7"/>
  <c r="M181" i="7"/>
  <c r="M117" i="7"/>
  <c r="L202" i="7"/>
  <c r="M202" i="7"/>
  <c r="L146" i="7"/>
  <c r="M146" i="7"/>
  <c r="L248" i="7"/>
  <c r="M248" i="7"/>
  <c r="L240" i="7"/>
  <c r="M240" i="7"/>
  <c r="L232" i="7"/>
  <c r="M232" i="7"/>
  <c r="L224" i="7"/>
  <c r="M224" i="7"/>
  <c r="L216" i="7"/>
  <c r="M216" i="7"/>
  <c r="L208" i="7"/>
  <c r="M208" i="7"/>
  <c r="L200" i="7"/>
  <c r="M200" i="7"/>
  <c r="L192" i="7"/>
  <c r="M192" i="7"/>
  <c r="L184" i="7"/>
  <c r="M184" i="7"/>
  <c r="L176" i="7"/>
  <c r="M176" i="7"/>
  <c r="L168" i="7"/>
  <c r="M168" i="7"/>
  <c r="L160" i="7"/>
  <c r="M160" i="7"/>
  <c r="L152" i="7"/>
  <c r="M152" i="7"/>
  <c r="L144" i="7"/>
  <c r="M144" i="7"/>
  <c r="L136" i="7"/>
  <c r="M136" i="7"/>
  <c r="L128" i="7"/>
  <c r="M128" i="7"/>
  <c r="L120" i="7"/>
  <c r="M120" i="7"/>
  <c r="L599" i="7"/>
  <c r="L591" i="7"/>
  <c r="L583" i="7"/>
  <c r="L575" i="7"/>
  <c r="L567" i="7"/>
  <c r="L559" i="7"/>
  <c r="L551" i="7"/>
  <c r="L543" i="7"/>
  <c r="L535" i="7"/>
  <c r="L527" i="7"/>
  <c r="L519" i="7"/>
  <c r="L511" i="7"/>
  <c r="L503" i="7"/>
  <c r="L495" i="7"/>
  <c r="L487" i="7"/>
  <c r="L479" i="7"/>
  <c r="L471" i="7"/>
  <c r="L463" i="7"/>
  <c r="L455" i="7"/>
  <c r="L447" i="7"/>
  <c r="L439" i="7"/>
  <c r="L431" i="7"/>
  <c r="L423" i="7"/>
  <c r="L415" i="7"/>
  <c r="L407" i="7"/>
  <c r="L399" i="7"/>
  <c r="L391" i="7"/>
  <c r="L383" i="7"/>
  <c r="L375" i="7"/>
  <c r="L367" i="7"/>
  <c r="L359" i="7"/>
  <c r="L351" i="7"/>
  <c r="L343" i="7"/>
  <c r="L335" i="7"/>
  <c r="L327" i="7"/>
  <c r="L319" i="7"/>
  <c r="L311" i="7"/>
  <c r="L303" i="7"/>
  <c r="L295" i="7"/>
  <c r="L287" i="7"/>
  <c r="L279" i="7"/>
  <c r="L271" i="7"/>
  <c r="L263" i="7"/>
  <c r="L255" i="7"/>
  <c r="L231" i="7"/>
  <c r="L167" i="7"/>
  <c r="L70" i="7"/>
  <c r="M557" i="7"/>
  <c r="M493" i="7"/>
  <c r="M429" i="7"/>
  <c r="M365" i="7"/>
  <c r="M301" i="7"/>
  <c r="M237" i="7"/>
  <c r="M173" i="7"/>
  <c r="M93" i="7"/>
  <c r="L210" i="7"/>
  <c r="M210" i="7"/>
  <c r="L170" i="7"/>
  <c r="M170" i="7"/>
  <c r="L114" i="7"/>
  <c r="M114" i="7"/>
  <c r="L598" i="7"/>
  <c r="L590" i="7"/>
  <c r="L582" i="7"/>
  <c r="L574" i="7"/>
  <c r="L566" i="7"/>
  <c r="L558" i="7"/>
  <c r="L550" i="7"/>
  <c r="L542" i="7"/>
  <c r="L534" i="7"/>
  <c r="L526" i="7"/>
  <c r="L518" i="7"/>
  <c r="L510" i="7"/>
  <c r="L502" i="7"/>
  <c r="L494" i="7"/>
  <c r="L486" i="7"/>
  <c r="L478" i="7"/>
  <c r="L470" i="7"/>
  <c r="L462" i="7"/>
  <c r="L454" i="7"/>
  <c r="L446" i="7"/>
  <c r="L438" i="7"/>
  <c r="L430" i="7"/>
  <c r="L422" i="7"/>
  <c r="L414" i="7"/>
  <c r="L406" i="7"/>
  <c r="L398" i="7"/>
  <c r="L390" i="7"/>
  <c r="L382" i="7"/>
  <c r="L374" i="7"/>
  <c r="L366" i="7"/>
  <c r="L358" i="7"/>
  <c r="L350" i="7"/>
  <c r="L342" i="7"/>
  <c r="L334" i="7"/>
  <c r="L326" i="7"/>
  <c r="L318" i="7"/>
  <c r="L310" i="7"/>
  <c r="L302" i="7"/>
  <c r="L294" i="7"/>
  <c r="L286" i="7"/>
  <c r="L278" i="7"/>
  <c r="L270" i="7"/>
  <c r="L262" i="7"/>
  <c r="L254" i="7"/>
  <c r="L223" i="7"/>
  <c r="L159" i="7"/>
  <c r="L38" i="7"/>
  <c r="M549" i="7"/>
  <c r="M485" i="7"/>
  <c r="M421" i="7"/>
  <c r="M357" i="7"/>
  <c r="M293" i="7"/>
  <c r="M229" i="7"/>
  <c r="M165" i="7"/>
  <c r="M61" i="7"/>
  <c r="L234" i="7"/>
  <c r="M234" i="7"/>
  <c r="L194" i="7"/>
  <c r="M194" i="7"/>
  <c r="L138" i="7"/>
  <c r="M138" i="7"/>
  <c r="M246" i="7"/>
  <c r="L246" i="7"/>
  <c r="M238" i="7"/>
  <c r="L238" i="7"/>
  <c r="M230" i="7"/>
  <c r="L230" i="7"/>
  <c r="M222" i="7"/>
  <c r="L222" i="7"/>
  <c r="M214" i="7"/>
  <c r="L214" i="7"/>
  <c r="M206" i="7"/>
  <c r="L206" i="7"/>
  <c r="M198" i="7"/>
  <c r="L198" i="7"/>
  <c r="M190" i="7"/>
  <c r="L190" i="7"/>
  <c r="M182" i="7"/>
  <c r="L182" i="7"/>
  <c r="M174" i="7"/>
  <c r="L174" i="7"/>
  <c r="M166" i="7"/>
  <c r="L166" i="7"/>
  <c r="M158" i="7"/>
  <c r="L158" i="7"/>
  <c r="M150" i="7"/>
  <c r="L150" i="7"/>
  <c r="M142" i="7"/>
  <c r="L142" i="7"/>
  <c r="M134" i="7"/>
  <c r="L134" i="7"/>
  <c r="M126" i="7"/>
  <c r="L126" i="7"/>
  <c r="M118" i="7"/>
  <c r="L118" i="7"/>
  <c r="M110" i="7"/>
  <c r="L110" i="7"/>
  <c r="M94" i="7"/>
  <c r="L94" i="7"/>
  <c r="M86" i="7"/>
  <c r="L86" i="7"/>
  <c r="M78" i="7"/>
  <c r="L78" i="7"/>
  <c r="M62" i="7"/>
  <c r="L62" i="7"/>
  <c r="M54" i="7"/>
  <c r="L54" i="7"/>
  <c r="M46" i="7"/>
  <c r="L46" i="7"/>
  <c r="M30" i="7"/>
  <c r="L30" i="7"/>
  <c r="M22" i="7"/>
  <c r="L22" i="7"/>
  <c r="M14" i="7"/>
  <c r="L14" i="7"/>
  <c r="L605" i="7"/>
  <c r="L597" i="7"/>
  <c r="L589" i="7"/>
  <c r="L541" i="7"/>
  <c r="L533" i="7"/>
  <c r="L525" i="7"/>
  <c r="L477" i="7"/>
  <c r="L469" i="7"/>
  <c r="L461" i="7"/>
  <c r="L413" i="7"/>
  <c r="L405" i="7"/>
  <c r="L397" i="7"/>
  <c r="L349" i="7"/>
  <c r="L341" i="7"/>
  <c r="L333" i="7"/>
  <c r="L285" i="7"/>
  <c r="L277" i="7"/>
  <c r="L269" i="7"/>
  <c r="L215" i="7"/>
  <c r="L151" i="7"/>
  <c r="M221" i="7"/>
  <c r="M157" i="7"/>
  <c r="M29" i="7"/>
  <c r="L218" i="7"/>
  <c r="M218" i="7"/>
  <c r="L154" i="7"/>
  <c r="M154" i="7"/>
  <c r="L109" i="7"/>
  <c r="M109" i="7"/>
  <c r="M101" i="7"/>
  <c r="L101" i="7"/>
  <c r="L85" i="7"/>
  <c r="M85" i="7"/>
  <c r="L77" i="7"/>
  <c r="M77" i="7"/>
  <c r="M69" i="7"/>
  <c r="L69" i="7"/>
  <c r="L53" i="7"/>
  <c r="M53" i="7"/>
  <c r="L45" i="7"/>
  <c r="M45" i="7"/>
  <c r="M37" i="7"/>
  <c r="L37" i="7"/>
  <c r="L21" i="7"/>
  <c r="M21" i="7"/>
  <c r="L13" i="7"/>
  <c r="M13" i="7"/>
  <c r="L604" i="7"/>
  <c r="L596" i="7"/>
  <c r="L588" i="7"/>
  <c r="L580" i="7"/>
  <c r="L572" i="7"/>
  <c r="L564" i="7"/>
  <c r="L556" i="7"/>
  <c r="L548" i="7"/>
  <c r="L540" i="7"/>
  <c r="L532" i="7"/>
  <c r="L524" i="7"/>
  <c r="L516" i="7"/>
  <c r="L508" i="7"/>
  <c r="L500" i="7"/>
  <c r="L492" i="7"/>
  <c r="L484" i="7"/>
  <c r="L476" i="7"/>
  <c r="L468" i="7"/>
  <c r="L460" i="7"/>
  <c r="L452" i="7"/>
  <c r="L444" i="7"/>
  <c r="L436" i="7"/>
  <c r="L428" i="7"/>
  <c r="L420" i="7"/>
  <c r="L412" i="7"/>
  <c r="L404" i="7"/>
  <c r="L396" i="7"/>
  <c r="L388" i="7"/>
  <c r="L380" i="7"/>
  <c r="L372" i="7"/>
  <c r="L364" i="7"/>
  <c r="L356" i="7"/>
  <c r="L348" i="7"/>
  <c r="L340" i="7"/>
  <c r="L332" i="7"/>
  <c r="L324" i="7"/>
  <c r="L316" i="7"/>
  <c r="L308" i="7"/>
  <c r="L300" i="7"/>
  <c r="L292" i="7"/>
  <c r="L284" i="7"/>
  <c r="L276" i="7"/>
  <c r="L268" i="7"/>
  <c r="L260" i="7"/>
  <c r="L252" i="7"/>
  <c r="L207" i="7"/>
  <c r="L143" i="7"/>
  <c r="M213" i="7"/>
  <c r="M149" i="7"/>
  <c r="L186" i="7"/>
  <c r="M186" i="7"/>
  <c r="L122" i="7"/>
  <c r="M122" i="7"/>
  <c r="L244" i="7"/>
  <c r="M244" i="7"/>
  <c r="L236" i="7"/>
  <c r="M236" i="7"/>
  <c r="L228" i="7"/>
  <c r="M228" i="7"/>
  <c r="L220" i="7"/>
  <c r="M220" i="7"/>
  <c r="L212" i="7"/>
  <c r="M212" i="7"/>
  <c r="L204" i="7"/>
  <c r="M204" i="7"/>
  <c r="L196" i="7"/>
  <c r="M196" i="7"/>
  <c r="L188" i="7"/>
  <c r="M188" i="7"/>
  <c r="L180" i="7"/>
  <c r="M180" i="7"/>
  <c r="L172" i="7"/>
  <c r="M172" i="7"/>
  <c r="L164" i="7"/>
  <c r="M164" i="7"/>
  <c r="L156" i="7"/>
  <c r="M156" i="7"/>
  <c r="L148" i="7"/>
  <c r="M148" i="7"/>
  <c r="L140" i="7"/>
  <c r="M140" i="7"/>
  <c r="L132" i="7"/>
  <c r="M132" i="7"/>
  <c r="L124" i="7"/>
  <c r="M124" i="7"/>
  <c r="L116" i="7"/>
  <c r="M116" i="7"/>
  <c r="L108" i="7"/>
  <c r="M108" i="7"/>
  <c r="L100" i="7"/>
  <c r="M100" i="7"/>
  <c r="L92" i="7"/>
  <c r="M92" i="7"/>
  <c r="L84" i="7"/>
  <c r="M84" i="7"/>
  <c r="L76" i="7"/>
  <c r="M76" i="7"/>
  <c r="L68" i="7"/>
  <c r="M68" i="7"/>
  <c r="L60" i="7"/>
  <c r="M60" i="7"/>
  <c r="L52" i="7"/>
  <c r="M52" i="7"/>
  <c r="L44" i="7"/>
  <c r="M44" i="7"/>
  <c r="L36" i="7"/>
  <c r="M36" i="7"/>
  <c r="L28" i="7"/>
  <c r="M28" i="7"/>
  <c r="L20" i="7"/>
  <c r="M20" i="7"/>
  <c r="L12" i="7"/>
  <c r="M12" i="7"/>
  <c r="L603" i="7"/>
  <c r="L595" i="7"/>
  <c r="L587" i="7"/>
  <c r="L579" i="7"/>
  <c r="L571" i="7"/>
  <c r="L563" i="7"/>
  <c r="L555" i="7"/>
  <c r="L547" i="7"/>
  <c r="L539" i="7"/>
  <c r="L531" i="7"/>
  <c r="L523" i="7"/>
  <c r="L515" i="7"/>
  <c r="L507" i="7"/>
  <c r="L499" i="7"/>
  <c r="L491" i="7"/>
  <c r="L483" i="7"/>
  <c r="L475" i="7"/>
  <c r="L467" i="7"/>
  <c r="L459" i="7"/>
  <c r="L451" i="7"/>
  <c r="L443" i="7"/>
  <c r="L435" i="7"/>
  <c r="L427" i="7"/>
  <c r="L419" i="7"/>
  <c r="L411" i="7"/>
  <c r="L403" i="7"/>
  <c r="L395" i="7"/>
  <c r="L387" i="7"/>
  <c r="L379" i="7"/>
  <c r="L371" i="7"/>
  <c r="L363" i="7"/>
  <c r="L355" i="7"/>
  <c r="L347" i="7"/>
  <c r="L339" i="7"/>
  <c r="L331" i="7"/>
  <c r="L323" i="7"/>
  <c r="L315" i="7"/>
  <c r="L307" i="7"/>
  <c r="L299" i="7"/>
  <c r="L291" i="7"/>
  <c r="L283" i="7"/>
  <c r="L275" i="7"/>
  <c r="L267" i="7"/>
  <c r="L259" i="7"/>
  <c r="L251" i="7"/>
  <c r="L199" i="7"/>
  <c r="L135" i="7"/>
  <c r="M205" i="7"/>
  <c r="M141" i="7"/>
  <c r="L111" i="7"/>
  <c r="L103" i="7"/>
  <c r="L95" i="7"/>
  <c r="L87" i="7"/>
  <c r="L79" i="7"/>
  <c r="L71" i="7"/>
  <c r="L63" i="7"/>
  <c r="L55" i="7"/>
  <c r="L47" i="7"/>
  <c r="L39" i="7"/>
  <c r="L31" i="7"/>
  <c r="L23" i="7"/>
  <c r="L15" i="7"/>
  <c r="L7" i="7"/>
  <c r="M107" i="7"/>
  <c r="M99" i="7"/>
  <c r="M91" i="7"/>
  <c r="M83" i="7"/>
  <c r="M75" i="7"/>
  <c r="M67" i="7"/>
  <c r="M59" i="7"/>
  <c r="M51" i="7"/>
  <c r="M43" i="7"/>
  <c r="M35" i="7"/>
  <c r="M27" i="7"/>
  <c r="M19" i="7"/>
  <c r="M11" i="7"/>
  <c r="M106" i="7"/>
  <c r="M98" i="7"/>
  <c r="M90" i="7"/>
  <c r="M82" i="7"/>
  <c r="M74" i="7"/>
  <c r="M66" i="7"/>
  <c r="M58" i="7"/>
  <c r="M50" i="7"/>
  <c r="M42" i="7"/>
  <c r="M34" i="7"/>
  <c r="M26" i="7"/>
  <c r="M18" i="7"/>
  <c r="M10" i="7"/>
  <c r="M113" i="7"/>
  <c r="M105" i="7"/>
  <c r="M97" i="7"/>
  <c r="M89" i="7"/>
  <c r="M81" i="7"/>
  <c r="M73" i="7"/>
  <c r="M65" i="7"/>
  <c r="M57" i="7"/>
  <c r="M49" i="7"/>
  <c r="M41" i="7"/>
  <c r="M33" i="7"/>
  <c r="M25" i="7"/>
  <c r="M17" i="7"/>
  <c r="M9" i="7"/>
  <c r="M112" i="7"/>
  <c r="M104" i="7"/>
  <c r="M96" i="7"/>
  <c r="M88" i="7"/>
  <c r="M80" i="7"/>
  <c r="M72" i="7"/>
  <c r="M64" i="7"/>
  <c r="M56" i="7"/>
  <c r="M48" i="7"/>
  <c r="M40" i="7"/>
  <c r="M32" i="7"/>
  <c r="M24" i="7"/>
  <c r="M16" i="7"/>
  <c r="M8" i="7"/>
  <c r="M6" i="7"/>
  <c r="F21" i="9" s="1"/>
  <c r="L6" i="7"/>
  <c r="C21" i="9" s="1"/>
  <c r="AS602" i="3"/>
  <c r="AJ2" i="5" s="1"/>
  <c r="G15" i="5" s="1"/>
  <c r="AO602" i="3"/>
  <c r="AF2" i="5" s="1"/>
  <c r="G13" i="5" s="1"/>
  <c r="BR602" i="3"/>
  <c r="BI2" i="5" s="1"/>
  <c r="C29" i="5" s="1"/>
  <c r="BS602" i="3"/>
  <c r="BJ2" i="5" s="1"/>
  <c r="E29" i="5" s="1"/>
  <c r="Y602" i="3"/>
  <c r="P2" i="5" s="1"/>
  <c r="G5" i="5" s="1"/>
  <c r="BT602" i="3" l="1"/>
  <c r="BK2" i="5" s="1"/>
  <c r="G29" i="5" s="1"/>
</calcChain>
</file>

<file path=xl/sharedStrings.xml><?xml version="1.0" encoding="utf-8"?>
<sst xmlns="http://schemas.openxmlformats.org/spreadsheetml/2006/main" count="512" uniqueCount="139">
  <si>
    <t>Student ID</t>
  </si>
  <si>
    <t xml:space="preserve">ABOUT THE SYSTEM </t>
  </si>
  <si>
    <t>Student Management System</t>
  </si>
  <si>
    <t>Name</t>
  </si>
  <si>
    <t xml:space="preserve"> ID</t>
  </si>
  <si>
    <t>GENDER</t>
  </si>
  <si>
    <t>NAME</t>
  </si>
  <si>
    <t>DOB</t>
  </si>
  <si>
    <t>STAFF ID</t>
  </si>
  <si>
    <t>DATE OF FIRST APPOINTMENT</t>
  </si>
  <si>
    <t>SSNIT ID</t>
  </si>
  <si>
    <t>DESIGINATION</t>
  </si>
  <si>
    <t>ACCADEMIC QUALIFICATION</t>
  </si>
  <si>
    <t>PROF QUALIFICATION</t>
  </si>
  <si>
    <t>RANK</t>
  </si>
  <si>
    <t>DATE PROMOTED TO THE RANK</t>
  </si>
  <si>
    <t>CONTACT</t>
  </si>
  <si>
    <t>EMAIL ADDRESS</t>
  </si>
  <si>
    <t>BANK NAME &amp; BRANCH</t>
  </si>
  <si>
    <t>ACCOUNT NO.</t>
  </si>
  <si>
    <t>GROSS SALARY</t>
  </si>
  <si>
    <t>NET SALARY</t>
  </si>
  <si>
    <t>STUDENT EMIS DATA</t>
  </si>
  <si>
    <t>CLASS</t>
  </si>
  <si>
    <t>MALE</t>
  </si>
  <si>
    <t>FEMALE</t>
  </si>
  <si>
    <t>TOTAL</t>
  </si>
  <si>
    <t>LKG</t>
  </si>
  <si>
    <t>HKG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</si>
  <si>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</si>
  <si>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</si>
  <si>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</si>
  <si>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</si>
  <si>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</si>
  <si>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</si>
  <si>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</si>
  <si>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</si>
  <si>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</si>
  <si>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</si>
  <si>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ALL MALE</t>
  </si>
  <si>
    <t>ALL FEMALE</t>
  </si>
  <si>
    <t>GRAND TOTAL</t>
  </si>
  <si>
    <t>S/N</t>
  </si>
  <si>
    <t>REG NO.</t>
  </si>
  <si>
    <t>QUALIFICATION</t>
  </si>
  <si>
    <t>SSF NO.</t>
  </si>
  <si>
    <t>DATE OF 1ST APPOINTMENT</t>
  </si>
  <si>
    <t>SIGNATURE</t>
  </si>
  <si>
    <t>ADM.NO</t>
  </si>
  <si>
    <t>ADMISSION DATE</t>
  </si>
  <si>
    <t>FEES</t>
  </si>
  <si>
    <t>INSTALLMENT 1</t>
  </si>
  <si>
    <t>INSTALLMENT 2</t>
  </si>
  <si>
    <t>INSTALLMENT 3</t>
  </si>
  <si>
    <t>INSTALLMENT 4</t>
  </si>
  <si>
    <t>RECEIVE</t>
  </si>
  <si>
    <t>BALANCE</t>
  </si>
  <si>
    <t>STATUS</t>
  </si>
  <si>
    <t>FEES PAYMENT DATABASE</t>
  </si>
  <si>
    <t>DATE OF ADM</t>
  </si>
  <si>
    <t>OFFICIAL ADMISSION RECIEPT</t>
  </si>
  <si>
    <t>HOD SIGNATURE</t>
  </si>
  <si>
    <t>SEARCH</t>
  </si>
  <si>
    <t xml:space="preserve"> ADM FEE</t>
  </si>
  <si>
    <t>FATHER NAME</t>
  </si>
  <si>
    <t>ADDRESS</t>
  </si>
  <si>
    <t>HOD SIGN</t>
  </si>
  <si>
    <t>ASST HOD</t>
  </si>
  <si>
    <t>OFFICIAL PAYMENT RECIEPT</t>
  </si>
  <si>
    <t>REGION</t>
  </si>
  <si>
    <t>DISTRICT</t>
  </si>
  <si>
    <t>CIRCUIT</t>
  </si>
  <si>
    <t>SCHOOL</t>
  </si>
  <si>
    <t>CLASS/FORM</t>
  </si>
  <si>
    <t>BOYS</t>
  </si>
  <si>
    <t>GIRLS</t>
  </si>
  <si>
    <t>REMARKS</t>
  </si>
  <si>
    <t>ENROLLMENT</t>
  </si>
  <si>
    <t>STUDENT ENROLLMENT DATA FOR EMIS INFORMATION</t>
  </si>
  <si>
    <t>3th</t>
  </si>
  <si>
    <t>NAME OF HEAD TEACHER</t>
  </si>
  <si>
    <t>SIGNATURE AND STAMP</t>
  </si>
  <si>
    <t>ID</t>
  </si>
  <si>
    <t>QUAL</t>
  </si>
  <si>
    <t>SSF.NO.</t>
  </si>
  <si>
    <t>1ST APP.DATE</t>
  </si>
  <si>
    <t>SIGN</t>
  </si>
  <si>
    <t>STAFF LIST FOR EMIS DATA</t>
  </si>
  <si>
    <t>NOT IN SCHOOL</t>
  </si>
  <si>
    <t>HOD</t>
  </si>
  <si>
    <t>ASS.HOD</t>
  </si>
  <si>
    <t>HEAD MISSTRESS</t>
  </si>
  <si>
    <t>ASS.MISSTRESS</t>
  </si>
  <si>
    <t>SPORTS MASTER</t>
  </si>
  <si>
    <t>CLASS TEACHER</t>
  </si>
  <si>
    <t>HOUSE MASTER</t>
  </si>
  <si>
    <t>ICT MASTER</t>
  </si>
  <si>
    <t>NOT MORE IN SCHOOL</t>
  </si>
  <si>
    <t>SSSCE</t>
  </si>
  <si>
    <t>WASSCE</t>
  </si>
  <si>
    <t>GCE</t>
  </si>
  <si>
    <t>DBE</t>
  </si>
  <si>
    <t>GCBE</t>
  </si>
  <si>
    <t>O'LEVEL</t>
  </si>
  <si>
    <t>A'LEVEL</t>
  </si>
  <si>
    <t>DEGREE</t>
  </si>
  <si>
    <t>MASTERS</t>
  </si>
  <si>
    <t>PHD</t>
  </si>
  <si>
    <t>TEACHER</t>
  </si>
  <si>
    <t>SUP.1</t>
  </si>
  <si>
    <t>SUP.2</t>
  </si>
  <si>
    <t>SEN.SUP II PROF.</t>
  </si>
  <si>
    <t>SEN.SUP I PROF.</t>
  </si>
  <si>
    <t>PRINCIPAL SUP.</t>
  </si>
  <si>
    <t>ASS.DIR.II</t>
  </si>
  <si>
    <t>ASS.DIR.I</t>
  </si>
  <si>
    <t>DEPUTY DIR</t>
  </si>
  <si>
    <t>DIR.GEN</t>
  </si>
  <si>
    <t>honey</t>
  </si>
  <si>
    <t>jhon</t>
  </si>
  <si>
    <t>Jhonesganj</t>
  </si>
  <si>
    <t>GUARDIAN</t>
  </si>
  <si>
    <t>ADMISSION FEES</t>
  </si>
  <si>
    <t>DATE OF ADMISSION</t>
  </si>
  <si>
    <t>HOMETOWN</t>
  </si>
  <si>
    <t>NEXT OF KIN</t>
  </si>
  <si>
    <t>RELATION</t>
  </si>
  <si>
    <t>SHEETAL</t>
  </si>
  <si>
    <t>AJMER</t>
  </si>
  <si>
    <t>RAHUL</t>
  </si>
  <si>
    <t>bother</t>
  </si>
  <si>
    <t>Sima</t>
  </si>
  <si>
    <t>FIVE</t>
  </si>
  <si>
    <t>IF CELLM19="FIVE"</t>
  </si>
  <si>
    <t>REGISTER NO</t>
  </si>
  <si>
    <t>D.O.B</t>
  </si>
  <si>
    <t>sunny</t>
  </si>
  <si>
    <t>ramu</t>
  </si>
  <si>
    <t>Jhonesganj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</si>
</sst>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theme="5" tint="0.79998168889431442"/>
      <name val="Calibri"/>
      <family val="2"/>
      <scheme val="minor"/>
    </font>
    <font>
      <sz val="28"/>
      <color theme="4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 Black"/>
      <family val="2"/>
    </font>
    <font>
      <b/>
      <sz val="20"/>
      <color theme="0"/>
      <name val="Arial Black"/>
      <family val="2"/>
    </font>
    <font>
      <b/>
      <sz val="11"/>
      <color theme="1"/>
      <name val="Arial Black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Arial Black"/>
      <family val="2"/>
    </font>
    <font>
      <u/>
      <sz val="11"/>
      <color theme="1"/>
      <name val="Calibri"/>
      <family val="2"/>
      <scheme val="minor"/>
    </font>
    <font>
      <b/>
      <sz val="20"/>
      <color theme="1"/>
      <name val="Arial Black"/>
      <family val="2"/>
    </font>
    <font>
      <b/>
      <sz val="14"/>
      <color theme="0"/>
      <name val="Arial"/>
      <family val="2"/>
    </font>
    <font>
      <b/>
      <sz val="14"/>
      <color theme="1"/>
      <name val="Arial Black"/>
      <family val="2"/>
    </font>
    <font>
      <b/>
      <sz val="16"/>
      <color theme="1"/>
      <name val="Arial Black"/>
      <family val="2"/>
    </font>
    <font>
      <b/>
      <u val="double"/>
      <sz val="1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EF23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41">
    <xf numFmtId="0" fontId="0" fillId="0" borderId="0" xfId="0"/>
    <xf numFmtId="0" fontId="0" fillId="3" borderId="0" xfId="0" applyFill="1"/>
    <xf numFmtId="0" fontId="0" fillId="4" borderId="0" xfId="0" applyFill="1" applyBorder="1"/>
    <xf numFmtId="0" fontId="0" fillId="0" borderId="0" xfId="0" applyBorder="1"/>
    <xf numFmtId="0" fontId="0" fillId="3" borderId="2" xfId="0" applyFill="1" applyBorder="1"/>
    <xf numFmtId="0" fontId="0" fillId="4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5" xfId="0" applyBorder="1"/>
    <xf numFmtId="0" fontId="0" fillId="0" borderId="6" xfId="0" applyBorder="1"/>
    <xf numFmtId="0" fontId="0" fillId="3" borderId="5" xfId="0" applyFill="1" applyBorder="1" applyAlignment="1">
      <alignment horizontal="center"/>
    </xf>
    <xf numFmtId="0" fontId="0" fillId="4" borderId="2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0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13" xfId="0" applyBorder="1"/>
    <xf numFmtId="0" fontId="0" fillId="0" borderId="14" xfId="0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0" borderId="1" xfId="0" applyBorder="1"/>
    <xf numFmtId="0" fontId="5" fillId="6" borderId="1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2" fontId="5" fillId="6" borderId="19" xfId="1" applyNumberFormat="1" applyFont="1" applyFill="1" applyBorder="1" applyAlignment="1">
      <alignment horizontal="center" vertical="center"/>
    </xf>
    <xf numFmtId="0" fontId="0" fillId="0" borderId="3" xfId="0" applyBorder="1"/>
    <xf numFmtId="0" fontId="0" fillId="7" borderId="1" xfId="0" applyFill="1" applyBorder="1"/>
    <xf numFmtId="0" fontId="0" fillId="8" borderId="2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2" fillId="8" borderId="1" xfId="2" applyFill="1" applyBorder="1" applyAlignment="1">
      <alignment horizontal="center" vertical="center"/>
    </xf>
    <xf numFmtId="14" fontId="0" fillId="8" borderId="1" xfId="0" applyNumberFormat="1" applyFill="1" applyBorder="1" applyAlignment="1">
      <alignment horizontal="center" vertical="center"/>
    </xf>
    <xf numFmtId="1" fontId="0" fillId="8" borderId="1" xfId="1" applyNumberFormat="1" applyFont="1" applyFill="1" applyBorder="1" applyAlignment="1">
      <alignment horizontal="center" vertical="center"/>
    </xf>
    <xf numFmtId="0" fontId="0" fillId="8" borderId="20" xfId="0" applyFill="1" applyBorder="1"/>
    <xf numFmtId="0" fontId="0" fillId="8" borderId="1" xfId="0" applyFill="1" applyBorder="1"/>
    <xf numFmtId="0" fontId="0" fillId="9" borderId="2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" fillId="9" borderId="1" xfId="2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/>
    </xf>
    <xf numFmtId="1" fontId="0" fillId="9" borderId="1" xfId="1" applyNumberFormat="1" applyFont="1" applyFill="1" applyBorder="1" applyAlignment="1">
      <alignment horizontal="center" vertical="center"/>
    </xf>
    <xf numFmtId="0" fontId="0" fillId="9" borderId="20" xfId="0" applyFill="1" applyBorder="1"/>
    <xf numFmtId="0" fontId="0" fillId="9" borderId="1" xfId="0" applyFill="1" applyBorder="1"/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9" fillId="11" borderId="1" xfId="0" applyFont="1" applyFill="1" applyBorder="1"/>
    <xf numFmtId="0" fontId="0" fillId="15" borderId="1" xfId="0" applyFill="1" applyBorder="1"/>
    <xf numFmtId="0" fontId="0" fillId="15" borderId="0" xfId="0" applyFill="1"/>
    <xf numFmtId="0" fontId="10" fillId="5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0" fillId="16" borderId="1" xfId="0" applyFill="1" applyBorder="1"/>
    <xf numFmtId="0" fontId="0" fillId="17" borderId="1" xfId="0" applyFill="1" applyBorder="1"/>
    <xf numFmtId="0" fontId="11" fillId="18" borderId="0" xfId="0" applyFont="1" applyFill="1"/>
    <xf numFmtId="0" fontId="11" fillId="18" borderId="1" xfId="0" applyFont="1" applyFill="1" applyBorder="1"/>
    <xf numFmtId="0" fontId="10" fillId="19" borderId="1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0" fillId="21" borderId="1" xfId="0" applyFill="1" applyBorder="1"/>
    <xf numFmtId="0" fontId="8" fillId="7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16" borderId="0" xfId="0" applyFill="1" applyAlignment="1">
      <alignment horizontal="center" vertical="center"/>
    </xf>
    <xf numFmtId="0" fontId="13" fillId="25" borderId="0" xfId="0" applyFont="1" applyFill="1"/>
    <xf numFmtId="0" fontId="25" fillId="25" borderId="1" xfId="0" applyFont="1" applyFill="1" applyBorder="1" applyAlignment="1">
      <alignment horizontal="center" vertical="center"/>
    </xf>
    <xf numFmtId="0" fontId="26" fillId="25" borderId="1" xfId="0" applyFont="1" applyFill="1" applyBorder="1" applyAlignment="1">
      <alignment horizontal="center" vertical="center"/>
    </xf>
    <xf numFmtId="0" fontId="26" fillId="25" borderId="0" xfId="0" applyFont="1" applyFill="1"/>
    <xf numFmtId="0" fontId="13" fillId="3" borderId="0" xfId="0" applyFont="1" applyFill="1"/>
    <xf numFmtId="0" fontId="0" fillId="0" borderId="28" xfId="0" applyBorder="1"/>
    <xf numFmtId="0" fontId="0" fillId="6" borderId="0" xfId="0" applyFill="1"/>
    <xf numFmtId="0" fontId="13" fillId="25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0" fontId="0" fillId="0" borderId="28" xfId="0" applyBorder="1" applyAlignment="1">
      <alignment vertical="center"/>
    </xf>
    <xf numFmtId="0" fontId="0" fillId="6" borderId="0" xfId="0" applyFill="1" applyAlignment="1">
      <alignment vertical="center"/>
    </xf>
    <xf numFmtId="0" fontId="26" fillId="25" borderId="1" xfId="0" applyFont="1" applyFill="1" applyBorder="1" applyAlignment="1">
      <alignment vertical="center"/>
    </xf>
    <xf numFmtId="0" fontId="27" fillId="6" borderId="0" xfId="0" applyFont="1" applyFill="1" applyAlignment="1">
      <alignment horizontal="center" vertical="center"/>
    </xf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0" fillId="21" borderId="0" xfId="0" applyFill="1" applyAlignment="1">
      <alignment horizontal="center" vertical="center"/>
    </xf>
    <xf numFmtId="0" fontId="17" fillId="0" borderId="1" xfId="0" applyFont="1" applyBorder="1" applyAlignment="1">
      <alignment vertical="center"/>
    </xf>
    <xf numFmtId="0" fontId="16" fillId="0" borderId="1" xfId="0" applyFont="1" applyBorder="1"/>
    <xf numFmtId="0" fontId="16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6" fillId="0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21" borderId="1" xfId="0" applyNumberFormat="1" applyFill="1" applyBorder="1"/>
    <xf numFmtId="14" fontId="0" fillId="0" borderId="1" xfId="0" applyNumberFormat="1" applyBorder="1"/>
    <xf numFmtId="14" fontId="13" fillId="3" borderId="0" xfId="0" applyNumberFormat="1" applyFont="1" applyFill="1" applyAlignme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0" fillId="1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4" borderId="32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0" fillId="13" borderId="34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12" fillId="20" borderId="0" xfId="0" applyFont="1" applyFill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15" fillId="22" borderId="0" xfId="0" applyFont="1" applyFill="1" applyAlignment="1">
      <alignment horizontal="center" vertical="center"/>
    </xf>
    <xf numFmtId="0" fontId="21" fillId="0" borderId="21" xfId="0" applyFont="1" applyBorder="1" applyAlignment="1">
      <alignment horizontal="center" vertical="top"/>
    </xf>
    <xf numFmtId="0" fontId="22" fillId="0" borderId="22" xfId="0" applyFont="1" applyBorder="1" applyAlignment="1">
      <alignment horizontal="center" vertical="top"/>
    </xf>
    <xf numFmtId="0" fontId="22" fillId="0" borderId="23" xfId="0" applyFont="1" applyBorder="1" applyAlignment="1">
      <alignment horizontal="center" vertical="top"/>
    </xf>
    <xf numFmtId="0" fontId="22" fillId="0" borderId="24" xfId="0" applyFont="1" applyBorder="1" applyAlignment="1">
      <alignment horizontal="center" vertical="top"/>
    </xf>
    <xf numFmtId="0" fontId="22" fillId="0" borderId="25" xfId="0" applyFont="1" applyBorder="1" applyAlignment="1">
      <alignment horizontal="center" vertical="top"/>
    </xf>
    <xf numFmtId="0" fontId="22" fillId="0" borderId="26" xfId="0" applyFont="1" applyBorder="1" applyAlignment="1">
      <alignment horizontal="center" vertical="top"/>
    </xf>
    <xf numFmtId="0" fontId="0" fillId="0" borderId="27" xfId="0" applyBorder="1" applyAlignment="1">
      <alignment horizontal="center"/>
    </xf>
    <xf numFmtId="0" fontId="0" fillId="23" borderId="0" xfId="0" applyFill="1" applyAlignment="1">
      <alignment horizontal="center" vertical="center"/>
    </xf>
    <xf numFmtId="0" fontId="28" fillId="15" borderId="0" xfId="0" applyFont="1" applyFill="1" applyAlignment="1">
      <alignment horizontal="center" vertical="center"/>
    </xf>
    <xf numFmtId="0" fontId="29" fillId="15" borderId="0" xfId="0" applyFont="1" applyFill="1" applyAlignment="1">
      <alignment horizontal="center" vertical="center"/>
    </xf>
    <xf numFmtId="0" fontId="2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7" fillId="21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6" fillId="0" borderId="1" xfId="0" applyFont="1" applyBorder="1" applyAlignment="1">
      <alignment horizontal="left"/>
    </xf>
    <xf numFmtId="0" fontId="19" fillId="26" borderId="1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CC"/>
      <color rgb="FF2EF2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DM.RECIEPT!A1"/><Relationship Id="rId3" Type="http://schemas.openxmlformats.org/officeDocument/2006/relationships/hyperlink" Target="#'STUDENT DETAILS'!A1"/><Relationship Id="rId7" Type="http://schemas.openxmlformats.org/officeDocument/2006/relationships/hyperlink" Target="#'STUDENT EMIS DATA'!A1"/><Relationship Id="rId2" Type="http://schemas.openxmlformats.org/officeDocument/2006/relationships/hyperlink" Target="#ABOUT!A1"/><Relationship Id="rId1" Type="http://schemas.openxmlformats.org/officeDocument/2006/relationships/hyperlink" Target="#HOME!A1"/><Relationship Id="rId6" Type="http://schemas.openxmlformats.org/officeDocument/2006/relationships/hyperlink" Target="#'FEE RECIEPT'!A1"/><Relationship Id="rId5" Type="http://schemas.openxmlformats.org/officeDocument/2006/relationships/hyperlink" Target="#'Teacher Details'!A1"/><Relationship Id="rId4" Type="http://schemas.openxmlformats.org/officeDocument/2006/relationships/hyperlink" Target="#'FEES COLLECTION'!A1"/><Relationship Id="rId9" Type="http://schemas.openxmlformats.org/officeDocument/2006/relationships/hyperlink" Target="#'TEACHER EMIS 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</xdr:row>
      <xdr:rowOff>68580</xdr:rowOff>
    </xdr:from>
    <xdr:to>
      <xdr:col>15</xdr:col>
      <xdr:colOff>236220</xdr:colOff>
      <xdr:row>3</xdr:row>
      <xdr:rowOff>99060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FD87CE-DA67-4A72-BBCB-5C568819DD25}"/>
            </a:ext>
          </a:extLst>
        </xdr:cNvPr>
        <xdr:cNvSpPr/>
      </xdr:nvSpPr>
      <xdr:spPr>
        <a:xfrm>
          <a:off x="7924800" y="259080"/>
          <a:ext cx="845820" cy="213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HOME</a:t>
          </a:r>
          <a:r>
            <a:rPr lang="en-IN" sz="1100"/>
            <a:t>	</a:t>
          </a:r>
        </a:p>
      </xdr:txBody>
    </xdr:sp>
    <xdr:clientData/>
  </xdr:twoCellAnchor>
  <xdr:twoCellAnchor>
    <xdr:from>
      <xdr:col>15</xdr:col>
      <xdr:colOff>320040</xdr:colOff>
      <xdr:row>2</xdr:row>
      <xdr:rowOff>83820</xdr:rowOff>
    </xdr:from>
    <xdr:to>
      <xdr:col>16</xdr:col>
      <xdr:colOff>556260</xdr:colOff>
      <xdr:row>3</xdr:row>
      <xdr:rowOff>114300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B886EA4-A261-4EB0-920D-AC0078E158A9}"/>
            </a:ext>
          </a:extLst>
        </xdr:cNvPr>
        <xdr:cNvSpPr/>
      </xdr:nvSpPr>
      <xdr:spPr>
        <a:xfrm>
          <a:off x="8854440" y="274320"/>
          <a:ext cx="845820" cy="213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ABOUT</a:t>
          </a:r>
        </a:p>
      </xdr:txBody>
    </xdr:sp>
    <xdr:clientData/>
  </xdr:twoCellAnchor>
  <xdr:twoCellAnchor>
    <xdr:from>
      <xdr:col>17</xdr:col>
      <xdr:colOff>22860</xdr:colOff>
      <xdr:row>2</xdr:row>
      <xdr:rowOff>91440</xdr:rowOff>
    </xdr:from>
    <xdr:to>
      <xdr:col>18</xdr:col>
      <xdr:colOff>259080</xdr:colOff>
      <xdr:row>3</xdr:row>
      <xdr:rowOff>121920</xdr:rowOff>
    </xdr:to>
    <xdr:sp macro="[0]!_xludf.Hi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2E0E56D-106F-490B-8860-592963677FE4}"/>
            </a:ext>
          </a:extLst>
        </xdr:cNvPr>
        <xdr:cNvSpPr/>
      </xdr:nvSpPr>
      <xdr:spPr>
        <a:xfrm>
          <a:off x="9776460" y="281940"/>
          <a:ext cx="845820" cy="2133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>
              <a:solidFill>
                <a:schemeClr val="tx1"/>
              </a:solidFill>
            </a:rPr>
            <a:t>SHOW</a:t>
          </a:r>
          <a:r>
            <a:rPr lang="en-IN" sz="900" baseline="0">
              <a:solidFill>
                <a:schemeClr val="tx1"/>
              </a:solidFill>
            </a:rPr>
            <a:t> TOOLS</a:t>
          </a:r>
          <a:endParaRPr lang="en-IN" sz="9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312420</xdr:colOff>
      <xdr:row>2</xdr:row>
      <xdr:rowOff>99060</xdr:rowOff>
    </xdr:from>
    <xdr:to>
      <xdr:col>19</xdr:col>
      <xdr:colOff>548640</xdr:colOff>
      <xdr:row>3</xdr:row>
      <xdr:rowOff>129540</xdr:rowOff>
    </xdr:to>
    <xdr:sp macro="[0]!Show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85185CD-1CEE-4765-8E01-F39B203C48E7}"/>
            </a:ext>
          </a:extLst>
        </xdr:cNvPr>
        <xdr:cNvSpPr/>
      </xdr:nvSpPr>
      <xdr:spPr>
        <a:xfrm>
          <a:off x="10675620" y="289560"/>
          <a:ext cx="845820" cy="21336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>
              <a:solidFill>
                <a:sysClr val="windowText" lastClr="000000"/>
              </a:solidFill>
            </a:rPr>
            <a:t>HIDE</a:t>
          </a:r>
          <a:r>
            <a:rPr lang="en-IN" sz="900"/>
            <a:t> </a:t>
          </a:r>
          <a:r>
            <a:rPr lang="en-IN" sz="900">
              <a:solidFill>
                <a:schemeClr val="tx1"/>
              </a:solidFill>
            </a:rPr>
            <a:t>TOOLS</a:t>
          </a:r>
        </a:p>
      </xdr:txBody>
    </xdr:sp>
    <xdr:clientData/>
  </xdr:twoCellAnchor>
  <xdr:twoCellAnchor>
    <xdr:from>
      <xdr:col>2</xdr:col>
      <xdr:colOff>594360</xdr:colOff>
      <xdr:row>13</xdr:row>
      <xdr:rowOff>60960</xdr:rowOff>
    </xdr:from>
    <xdr:to>
      <xdr:col>7</xdr:col>
      <xdr:colOff>548640</xdr:colOff>
      <xdr:row>14</xdr:row>
      <xdr:rowOff>175260</xdr:rowOff>
    </xdr:to>
    <xdr:sp macro="" textlink="">
      <xdr:nvSpPr>
        <xdr:cNvPr id="3" name="Rectangle: Rounded Corner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118E78-C082-408E-A718-2D1F5B6DFAA0}"/>
            </a:ext>
          </a:extLst>
        </xdr:cNvPr>
        <xdr:cNvSpPr/>
      </xdr:nvSpPr>
      <xdr:spPr>
        <a:xfrm>
          <a:off x="1203960" y="253746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ADD/CHECK STUDENT DETAILS</a:t>
          </a:r>
        </a:p>
      </xdr:txBody>
    </xdr:sp>
    <xdr:clientData/>
  </xdr:twoCellAnchor>
  <xdr:twoCellAnchor>
    <xdr:from>
      <xdr:col>13</xdr:col>
      <xdr:colOff>220980</xdr:colOff>
      <xdr:row>13</xdr:row>
      <xdr:rowOff>76200</xdr:rowOff>
    </xdr:from>
    <xdr:to>
      <xdr:col>18</xdr:col>
      <xdr:colOff>175260</xdr:colOff>
      <xdr:row>15</xdr:row>
      <xdr:rowOff>7620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9BA901-D84A-48AB-AD56-434FA774E8EE}"/>
            </a:ext>
          </a:extLst>
        </xdr:cNvPr>
        <xdr:cNvSpPr/>
      </xdr:nvSpPr>
      <xdr:spPr>
        <a:xfrm>
          <a:off x="7536180" y="255270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/>
            <a:t>ADD/CHECK FEES DETAILS</a:t>
          </a:r>
        </a:p>
      </xdr:txBody>
    </xdr:sp>
    <xdr:clientData/>
  </xdr:twoCellAnchor>
  <xdr:twoCellAnchor>
    <xdr:from>
      <xdr:col>8</xdr:col>
      <xdr:colOff>114300</xdr:colOff>
      <xdr:row>13</xdr:row>
      <xdr:rowOff>76200</xdr:rowOff>
    </xdr:from>
    <xdr:to>
      <xdr:col>13</xdr:col>
      <xdr:colOff>68580</xdr:colOff>
      <xdr:row>15</xdr:row>
      <xdr:rowOff>7620</xdr:rowOff>
    </xdr:to>
    <xdr:sp macro="" textlink="">
      <xdr:nvSpPr>
        <xdr:cNvPr id="10" name="Rectangle: Rounded Corner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F1B521-7634-406E-A4B3-0CAD7776AF01}"/>
            </a:ext>
          </a:extLst>
        </xdr:cNvPr>
        <xdr:cNvSpPr/>
      </xdr:nvSpPr>
      <xdr:spPr>
        <a:xfrm>
          <a:off x="4381500" y="255270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ADD/CHECK</a:t>
          </a:r>
          <a:r>
            <a:rPr lang="en-IN" sz="1600" b="1" baseline="0"/>
            <a:t> TEACHER DETAILS</a:t>
          </a:r>
          <a:endParaRPr lang="en-IN" sz="1600" b="1"/>
        </a:p>
      </xdr:txBody>
    </xdr:sp>
    <xdr:clientData/>
  </xdr:twoCellAnchor>
  <xdr:twoCellAnchor>
    <xdr:from>
      <xdr:col>8</xdr:col>
      <xdr:colOff>137160</xdr:colOff>
      <xdr:row>17</xdr:row>
      <xdr:rowOff>137160</xdr:rowOff>
    </xdr:from>
    <xdr:to>
      <xdr:col>13</xdr:col>
      <xdr:colOff>91440</xdr:colOff>
      <xdr:row>19</xdr:row>
      <xdr:rowOff>68580</xdr:rowOff>
    </xdr:to>
    <xdr:sp macro="" textlink="">
      <xdr:nvSpPr>
        <xdr:cNvPr id="11" name="Rectangle: Rounded Corner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F031544-64A4-40E9-A356-6DBF86DCF5B9}"/>
            </a:ext>
          </a:extLst>
        </xdr:cNvPr>
        <xdr:cNvSpPr/>
      </xdr:nvSpPr>
      <xdr:spPr>
        <a:xfrm>
          <a:off x="4404360" y="334518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CONFIRM PAYMENT RECIEPT</a:t>
          </a:r>
        </a:p>
      </xdr:txBody>
    </xdr:sp>
    <xdr:clientData/>
  </xdr:twoCellAnchor>
  <xdr:twoCellAnchor>
    <xdr:from>
      <xdr:col>3</xdr:col>
      <xdr:colOff>15240</xdr:colOff>
      <xdr:row>17</xdr:row>
      <xdr:rowOff>167640</xdr:rowOff>
    </xdr:from>
    <xdr:to>
      <xdr:col>7</xdr:col>
      <xdr:colOff>579120</xdr:colOff>
      <xdr:row>19</xdr:row>
      <xdr:rowOff>99060</xdr:rowOff>
    </xdr:to>
    <xdr:sp macro="" textlink="">
      <xdr:nvSpPr>
        <xdr:cNvPr id="12" name="Rectangle: Rounded Corners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2602BDF-739D-42E9-84E6-308A7C998369}"/>
            </a:ext>
          </a:extLst>
        </xdr:cNvPr>
        <xdr:cNvSpPr/>
      </xdr:nvSpPr>
      <xdr:spPr>
        <a:xfrm>
          <a:off x="1234440" y="337566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CHECK STUDENT EMIS DATA</a:t>
          </a:r>
        </a:p>
      </xdr:txBody>
    </xdr:sp>
    <xdr:clientData/>
  </xdr:twoCellAnchor>
  <xdr:twoCellAnchor>
    <xdr:from>
      <xdr:col>13</xdr:col>
      <xdr:colOff>228600</xdr:colOff>
      <xdr:row>17</xdr:row>
      <xdr:rowOff>114300</xdr:rowOff>
    </xdr:from>
    <xdr:to>
      <xdr:col>18</xdr:col>
      <xdr:colOff>182880</xdr:colOff>
      <xdr:row>19</xdr:row>
      <xdr:rowOff>45720</xdr:rowOff>
    </xdr:to>
    <xdr:sp macro="" textlink="">
      <xdr:nvSpPr>
        <xdr:cNvPr id="13" name="Rectangle: Rounded Corners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D270298-BE6F-44D8-928E-85A11FA59F09}"/>
            </a:ext>
          </a:extLst>
        </xdr:cNvPr>
        <xdr:cNvSpPr/>
      </xdr:nvSpPr>
      <xdr:spPr>
        <a:xfrm>
          <a:off x="7543800" y="332232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ISSUE ADMISSION RECIEPT</a:t>
          </a:r>
        </a:p>
      </xdr:txBody>
    </xdr:sp>
    <xdr:clientData/>
  </xdr:twoCellAnchor>
  <xdr:twoCellAnchor>
    <xdr:from>
      <xdr:col>8</xdr:col>
      <xdr:colOff>182880</xdr:colOff>
      <xdr:row>22</xdr:row>
      <xdr:rowOff>15240</xdr:rowOff>
    </xdr:from>
    <xdr:to>
      <xdr:col>13</xdr:col>
      <xdr:colOff>137160</xdr:colOff>
      <xdr:row>23</xdr:row>
      <xdr:rowOff>129540</xdr:rowOff>
    </xdr:to>
    <xdr:sp macro="" textlink="">
      <xdr:nvSpPr>
        <xdr:cNvPr id="14" name="Rectangle: Rounded Corners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C5AD112-04A1-44D0-B521-E6112EF41058}"/>
            </a:ext>
          </a:extLst>
        </xdr:cNvPr>
        <xdr:cNvSpPr/>
      </xdr:nvSpPr>
      <xdr:spPr>
        <a:xfrm>
          <a:off x="4450080" y="4137660"/>
          <a:ext cx="3002280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CHECK TEACHER EMIS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15240</xdr:rowOff>
    </xdr:from>
    <xdr:to>
      <xdr:col>18</xdr:col>
      <xdr:colOff>0</xdr:colOff>
      <xdr:row>44</xdr:row>
      <xdr:rowOff>160020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A1FA949-8B4F-4851-85E0-1B0A7991663E}"/>
            </a:ext>
          </a:extLst>
        </xdr:cNvPr>
        <xdr:cNvSpPr txBox="1"/>
      </xdr:nvSpPr>
      <xdr:spPr>
        <a:xfrm>
          <a:off x="1219200" y="1112520"/>
          <a:ext cx="9144000" cy="6911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>
    <xdr:from>
      <xdr:col>4</xdr:col>
      <xdr:colOff>152400</xdr:colOff>
      <xdr:row>2</xdr:row>
      <xdr:rowOff>60960</xdr:rowOff>
    </xdr:from>
    <xdr:to>
      <xdr:col>6</xdr:col>
      <xdr:colOff>190500</xdr:colOff>
      <xdr:row>2</xdr:row>
      <xdr:rowOff>342900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7C604B-799B-41B4-8AF5-71A41FFBAECF}"/>
            </a:ext>
          </a:extLst>
        </xdr:cNvPr>
        <xdr:cNvSpPr/>
      </xdr:nvSpPr>
      <xdr:spPr>
        <a:xfrm>
          <a:off x="1981200" y="243840"/>
          <a:ext cx="1257300" cy="2819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 </a:t>
          </a:r>
          <a:r>
            <a:rPr lang="en-IN" sz="160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69273</xdr:colOff>
      <xdr:row>0</xdr:row>
      <xdr:rowOff>30787</xdr:rowOff>
    </xdr:from>
    <xdr:to>
      <xdr:col>1</xdr:col>
      <xdr:colOff>823575</xdr:colOff>
      <xdr:row>0</xdr:row>
      <xdr:rowOff>207818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6DEEFF-BFA5-4F74-BB55-1C6156323A83}"/>
            </a:ext>
          </a:extLst>
        </xdr:cNvPr>
        <xdr:cNvSpPr/>
      </xdr:nvSpPr>
      <xdr:spPr>
        <a:xfrm>
          <a:off x="908243" y="30787"/>
          <a:ext cx="754302" cy="17703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Arial Black" panose="020B0A04020102020204" pitchFamily="34" charset="0"/>
            </a:rPr>
            <a:t>HOME</a:t>
          </a:r>
        </a:p>
      </xdr:txBody>
    </xdr:sp>
    <xdr:clientData/>
  </xdr:twoCellAnchor>
  <xdr:twoCellAnchor>
    <xdr:from>
      <xdr:col>1</xdr:col>
      <xdr:colOff>877454</xdr:colOff>
      <xdr:row>0</xdr:row>
      <xdr:rowOff>30788</xdr:rowOff>
    </xdr:from>
    <xdr:to>
      <xdr:col>1</xdr:col>
      <xdr:colOff>1500908</xdr:colOff>
      <xdr:row>0</xdr:row>
      <xdr:rowOff>215515</xdr:rowOff>
    </xdr:to>
    <xdr:sp macro="[0]!uform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312AE2-2850-4D5A-BCDD-9BA8B0DD91E4}"/>
            </a:ext>
          </a:extLst>
        </xdr:cNvPr>
        <xdr:cNvSpPr/>
      </xdr:nvSpPr>
      <xdr:spPr>
        <a:xfrm>
          <a:off x="1716424" y="30788"/>
          <a:ext cx="623454" cy="184727"/>
        </a:xfrm>
        <a:prstGeom prst="round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Arial Black" panose="020B0A04020102020204" pitchFamily="34" charset="0"/>
            </a:rPr>
            <a:t>ADD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69273</xdr:colOff>
      <xdr:row>0</xdr:row>
      <xdr:rowOff>30787</xdr:rowOff>
    </xdr:from>
    <xdr:to>
      <xdr:col>1</xdr:col>
      <xdr:colOff>823575</xdr:colOff>
      <xdr:row>0</xdr:row>
      <xdr:rowOff>207818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8CBE0-A101-4920-A3F3-A48C67CE956F}"/>
            </a:ext>
          </a:extLst>
        </xdr:cNvPr>
        <xdr:cNvSpPr/>
      </xdr:nvSpPr>
      <xdr:spPr>
        <a:xfrm>
          <a:off x="907473" y="30787"/>
          <a:ext cx="754302" cy="177031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Arial Black" panose="020B0A04020102020204" pitchFamily="34" charset="0"/>
            </a:rPr>
            <a:t>HOME</a:t>
          </a:r>
        </a:p>
      </xdr:txBody>
    </xdr:sp>
    <xdr:clientData/>
  </xdr:twoCellAnchor>
  <xdr:twoCellAnchor>
    <xdr:from>
      <xdr:col>1</xdr:col>
      <xdr:colOff>877454</xdr:colOff>
      <xdr:row>0</xdr:row>
      <xdr:rowOff>30788</xdr:rowOff>
    </xdr:from>
    <xdr:to>
      <xdr:col>1</xdr:col>
      <xdr:colOff>1500908</xdr:colOff>
      <xdr:row>0</xdr:row>
      <xdr:rowOff>215515</xdr:rowOff>
    </xdr:to>
    <xdr:sp macro="[0]!uForm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B65C2A-0D89-41CA-B618-461231F13CB1}"/>
            </a:ext>
          </a:extLst>
        </xdr:cNvPr>
        <xdr:cNvSpPr/>
      </xdr:nvSpPr>
      <xdr:spPr>
        <a:xfrm>
          <a:off x="1715654" y="30788"/>
          <a:ext cx="623454" cy="184727"/>
        </a:xfrm>
        <a:prstGeom prst="roundRect">
          <a:avLst/>
        </a:prstGeom>
        <a:solidFill>
          <a:schemeClr val="accent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Arial Black" panose="020B0A04020102020204" pitchFamily="34" charset="0"/>
            </a:rPr>
            <a:t>ADD</a:t>
          </a:r>
        </a:p>
      </xdr:txBody>
    </xdr:sp>
    <xdr:clientData/>
  </xdr:twoCellAnchor>
  <xdr:twoCellAnchor>
    <xdr:from>
      <xdr:col>2</xdr:col>
      <xdr:colOff>236220</xdr:colOff>
      <xdr:row>0</xdr:row>
      <xdr:rowOff>15240</xdr:rowOff>
    </xdr:from>
    <xdr:to>
      <xdr:col>3</xdr:col>
      <xdr:colOff>7620</xdr:colOff>
      <xdr:row>0</xdr:row>
      <xdr:rowOff>236220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BD6EC6A-ADA4-4F6E-82D6-48A389F03E41}"/>
            </a:ext>
          </a:extLst>
        </xdr:cNvPr>
        <xdr:cNvSpPr/>
      </xdr:nvSpPr>
      <xdr:spPr>
        <a:xfrm>
          <a:off x="2583180" y="15240"/>
          <a:ext cx="792480" cy="2209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600" b="1">
              <a:latin typeface="Arial Black" panose="020B0A04020102020204" pitchFamily="34" charset="0"/>
            </a:rPr>
            <a:t>CLEAR</a:t>
          </a:r>
          <a:r>
            <a:rPr lang="en-IN" sz="600" b="1" baseline="0">
              <a:latin typeface="Arial Black" panose="020B0A04020102020204" pitchFamily="34" charset="0"/>
            </a:rPr>
            <a:t> INFO</a:t>
          </a:r>
          <a:endParaRPr lang="en-IN" sz="6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274320</xdr:colOff>
      <xdr:row>0</xdr:row>
      <xdr:rowOff>304800</xdr:rowOff>
    </xdr:from>
    <xdr:to>
      <xdr:col>9</xdr:col>
      <xdr:colOff>434340</xdr:colOff>
      <xdr:row>0</xdr:row>
      <xdr:rowOff>541020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EFC23A-B635-481E-9BE7-B44604676ED7}"/>
            </a:ext>
          </a:extLst>
        </xdr:cNvPr>
        <xdr:cNvSpPr/>
      </xdr:nvSpPr>
      <xdr:spPr>
        <a:xfrm>
          <a:off x="5341620" y="304800"/>
          <a:ext cx="769620" cy="2362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594360</xdr:colOff>
      <xdr:row>0</xdr:row>
      <xdr:rowOff>22860</xdr:rowOff>
    </xdr:from>
    <xdr:to>
      <xdr:col>3</xdr:col>
      <xdr:colOff>236220</xdr:colOff>
      <xdr:row>1</xdr:row>
      <xdr:rowOff>7620</xdr:rowOff>
    </xdr:to>
    <xdr:sp macro="[0]!uForm3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D3C4F9-56A4-4F25-BB95-D96DA201231F}"/>
            </a:ext>
          </a:extLst>
        </xdr:cNvPr>
        <xdr:cNvSpPr/>
      </xdr:nvSpPr>
      <xdr:spPr>
        <a:xfrm>
          <a:off x="594360" y="22860"/>
          <a:ext cx="1584960" cy="41148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rgbClr val="FF0000"/>
              </a:solidFill>
              <a:latin typeface="Arial Black" panose="020B0A04020102020204" pitchFamily="34" charset="0"/>
            </a:rPr>
            <a:t>CHECK/UPDATE</a:t>
          </a:r>
        </a:p>
      </xdr:txBody>
    </xdr:sp>
    <xdr:clientData/>
  </xdr:twoCellAnchor>
  <xdr:twoCellAnchor>
    <xdr:from>
      <xdr:col>9</xdr:col>
      <xdr:colOff>853440</xdr:colOff>
      <xdr:row>0</xdr:row>
      <xdr:rowOff>7620</xdr:rowOff>
    </xdr:from>
    <xdr:to>
      <xdr:col>10</xdr:col>
      <xdr:colOff>594360</xdr:colOff>
      <xdr:row>0</xdr:row>
      <xdr:rowOff>411480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7D8D2B-F988-4369-BB06-4A94BFB93412}"/>
            </a:ext>
          </a:extLst>
        </xdr:cNvPr>
        <xdr:cNvSpPr/>
      </xdr:nvSpPr>
      <xdr:spPr>
        <a:xfrm>
          <a:off x="9471660" y="7620"/>
          <a:ext cx="1120140" cy="40386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13</xdr:row>
      <xdr:rowOff>30480</xdr:rowOff>
    </xdr:from>
    <xdr:to>
      <xdr:col>10</xdr:col>
      <xdr:colOff>274320</xdr:colOff>
      <xdr:row>14</xdr:row>
      <xdr:rowOff>53340</xdr:rowOff>
    </xdr:to>
    <xdr:sp macro="[0]!print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81ABC2E-B584-4902-849D-BA18C550F149}"/>
            </a:ext>
          </a:extLst>
        </xdr:cNvPr>
        <xdr:cNvSpPr/>
      </xdr:nvSpPr>
      <xdr:spPr>
        <a:xfrm>
          <a:off x="6995160" y="3268980"/>
          <a:ext cx="1485900" cy="3429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rgbClr val="FF0000"/>
              </a:solidFill>
            </a:rPr>
            <a:t>PRINT RECIEPT</a:t>
          </a:r>
        </a:p>
      </xdr:txBody>
    </xdr:sp>
    <xdr:clientData/>
  </xdr:twoCellAnchor>
  <xdr:twoCellAnchor>
    <xdr:from>
      <xdr:col>10</xdr:col>
      <xdr:colOff>381000</xdr:colOff>
      <xdr:row>13</xdr:row>
      <xdr:rowOff>30480</xdr:rowOff>
    </xdr:from>
    <xdr:to>
      <xdr:col>13</xdr:col>
      <xdr:colOff>38100</xdr:colOff>
      <xdr:row>14</xdr:row>
      <xdr:rowOff>53340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587AE7-3306-44FE-B54D-CA4F09869731}"/>
            </a:ext>
          </a:extLst>
        </xdr:cNvPr>
        <xdr:cNvSpPr/>
      </xdr:nvSpPr>
      <xdr:spPr>
        <a:xfrm>
          <a:off x="8587740" y="3268980"/>
          <a:ext cx="1485900" cy="3429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rgbClr val="FF0000"/>
              </a:solidFill>
            </a:rPr>
            <a:t>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11</xdr:row>
      <xdr:rowOff>30480</xdr:rowOff>
    </xdr:from>
    <xdr:to>
      <xdr:col>10</xdr:col>
      <xdr:colOff>7620</xdr:colOff>
      <xdr:row>12</xdr:row>
      <xdr:rowOff>99060</xdr:rowOff>
    </xdr:to>
    <xdr:sp macro="[0]!print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85C319-5DD0-483B-89B9-3CC0BF7E8DE5}"/>
            </a:ext>
          </a:extLst>
        </xdr:cNvPr>
        <xdr:cNvSpPr/>
      </xdr:nvSpPr>
      <xdr:spPr>
        <a:xfrm>
          <a:off x="8001000" y="2766060"/>
          <a:ext cx="1234440" cy="3352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200" b="1"/>
            <a:t>PRINT RECIEPT</a:t>
          </a:r>
        </a:p>
      </xdr:txBody>
    </xdr:sp>
    <xdr:clientData/>
  </xdr:twoCellAnchor>
  <xdr:twoCellAnchor>
    <xdr:from>
      <xdr:col>10</xdr:col>
      <xdr:colOff>60960</xdr:colOff>
      <xdr:row>11</xdr:row>
      <xdr:rowOff>22860</xdr:rowOff>
    </xdr:from>
    <xdr:to>
      <xdr:col>12</xdr:col>
      <xdr:colOff>76200</xdr:colOff>
      <xdr:row>12</xdr:row>
      <xdr:rowOff>91440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D16A86-94D1-4090-B7F4-B5DA74899477}"/>
            </a:ext>
          </a:extLst>
        </xdr:cNvPr>
        <xdr:cNvSpPr/>
      </xdr:nvSpPr>
      <xdr:spPr>
        <a:xfrm>
          <a:off x="9288780" y="2758440"/>
          <a:ext cx="1234440" cy="3352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20A1-3DD6-40CC-8AAA-7E29E485C17F}">
  <sheetPr codeName="Sheet1">
    <tabColor theme="4"/>
  </sheetPr>
  <dimension ref="A1:U28"/>
  <sheetViews>
    <sheetView topLeftCell="B2" workbookViewId="0"/>
  </sheetViews>
  <sheetFormatPr defaultColWidth="0" defaultRowHeight="14.4" zeroHeight="1" x14ac:dyDescent="0.3"/>
  <cols>
    <col min="1" max="1" width="0" hidden="1" customWidth="1"/>
    <col min="2" max="2" width="8.88671875" style="1" customWidth="1"/>
    <col min="3" max="3" width="8.88671875" style="9" customWidth="1"/>
    <col min="4" max="19" width="8.88671875" style="3" customWidth="1"/>
    <col min="20" max="20" width="8.88671875" style="10" customWidth="1"/>
    <col min="21" max="21" width="8.88671875" style="1" customWidth="1"/>
    <col min="22" max="16384" width="8.88671875" hidden="1"/>
  </cols>
  <sheetData>
    <row r="1" spans="3:20" hidden="1" x14ac:dyDescent="0.3"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3:20" ht="15" thickBot="1" x14ac:dyDescent="0.35"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</row>
    <row r="3" spans="3:20" x14ac:dyDescent="0.3">
      <c r="C3" s="20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2"/>
    </row>
    <row r="4" spans="3:20" x14ac:dyDescent="0.3">
      <c r="C4" s="2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4"/>
    </row>
    <row r="5" spans="3:20" ht="36.6" x14ac:dyDescent="0.3">
      <c r="C5" s="23"/>
      <c r="D5" s="2"/>
      <c r="E5" s="2"/>
      <c r="F5" s="2"/>
      <c r="G5" s="97" t="s">
        <v>2</v>
      </c>
      <c r="H5" s="97"/>
      <c r="I5" s="97"/>
      <c r="J5" s="97"/>
      <c r="K5" s="97"/>
      <c r="L5" s="97"/>
      <c r="M5" s="97"/>
      <c r="N5" s="97"/>
      <c r="O5" s="97"/>
      <c r="P5" s="2"/>
      <c r="Q5" s="2"/>
      <c r="R5" s="2"/>
      <c r="S5" s="2"/>
      <c r="T5" s="24"/>
    </row>
    <row r="6" spans="3:20" x14ac:dyDescent="0.3">
      <c r="C6" s="23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4"/>
    </row>
    <row r="7" spans="3:20" x14ac:dyDescent="0.3">
      <c r="C7" s="2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4"/>
    </row>
    <row r="8" spans="3:20" x14ac:dyDescent="0.3">
      <c r="C8" s="2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4"/>
    </row>
    <row r="9" spans="3:20" x14ac:dyDescent="0.3">
      <c r="C9" s="2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4"/>
    </row>
    <row r="10" spans="3:20" x14ac:dyDescent="0.3">
      <c r="C10" s="2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4"/>
    </row>
    <row r="11" spans="3:20" x14ac:dyDescent="0.3">
      <c r="C11" s="25"/>
      <c r="T11" s="26"/>
    </row>
    <row r="12" spans="3:20" x14ac:dyDescent="0.3">
      <c r="C12" s="27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28"/>
    </row>
    <row r="13" spans="3:20" x14ac:dyDescent="0.3">
      <c r="C13" s="27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28"/>
    </row>
    <row r="14" spans="3:20" x14ac:dyDescent="0.3">
      <c r="C14" s="27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8"/>
    </row>
    <row r="15" spans="3:20" x14ac:dyDescent="0.3">
      <c r="C15" s="27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28"/>
    </row>
    <row r="16" spans="3:20" x14ac:dyDescent="0.3">
      <c r="C16" s="27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28"/>
    </row>
    <row r="17" spans="3:20" x14ac:dyDescent="0.3">
      <c r="C17" s="27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28"/>
    </row>
    <row r="18" spans="3:20" x14ac:dyDescent="0.3">
      <c r="C18" s="27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28"/>
    </row>
    <row r="19" spans="3:20" x14ac:dyDescent="0.3">
      <c r="C19" s="27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28"/>
    </row>
    <row r="20" spans="3:20" x14ac:dyDescent="0.3">
      <c r="C20" s="27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28"/>
    </row>
    <row r="21" spans="3:20" x14ac:dyDescent="0.3">
      <c r="C21" s="2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28"/>
    </row>
    <row r="22" spans="3:20" x14ac:dyDescent="0.3">
      <c r="C22" s="27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28"/>
    </row>
    <row r="23" spans="3:20" x14ac:dyDescent="0.3">
      <c r="C23" s="27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28"/>
    </row>
    <row r="24" spans="3:20" x14ac:dyDescent="0.3">
      <c r="C24" s="27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8"/>
    </row>
    <row r="25" spans="3:20" x14ac:dyDescent="0.3">
      <c r="C25" s="27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8"/>
    </row>
    <row r="26" spans="3:20" x14ac:dyDescent="0.3">
      <c r="C26" s="27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8"/>
    </row>
    <row r="27" spans="3:20" x14ac:dyDescent="0.3">
      <c r="C27" s="27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8"/>
    </row>
    <row r="28" spans="3:20" ht="15" thickBot="1" x14ac:dyDescent="0.35">
      <c r="C28" s="29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1"/>
    </row>
  </sheetData>
  <mergeCells count="1">
    <mergeCell ref="G5:O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DBE38-BF52-406A-8001-05B1D2F48B7A}">
  <sheetPr codeName="Sheet2">
    <tabColor theme="1"/>
  </sheetPr>
  <dimension ref="B1:T48"/>
  <sheetViews>
    <sheetView topLeftCell="B2" zoomScaleNormal="100" workbookViewId="0">
      <selection activeCell="H21" sqref="H21"/>
    </sheetView>
  </sheetViews>
  <sheetFormatPr defaultColWidth="0" defaultRowHeight="14.4" zeroHeight="1" x14ac:dyDescent="0.3"/>
  <cols>
    <col min="1" max="1" width="8.88671875" hidden="1" customWidth="1"/>
    <col min="2" max="2" width="8.88671875" customWidth="1"/>
    <col min="3" max="3" width="8.88671875" style="9" customWidth="1"/>
    <col min="4" max="18" width="8.88671875" style="3" customWidth="1"/>
    <col min="19" max="19" width="8.88671875" style="10" customWidth="1"/>
    <col min="20" max="20" width="8.88671875" customWidth="1"/>
    <col min="21" max="16384" width="8.88671875" hidden="1"/>
  </cols>
  <sheetData>
    <row r="1" spans="2:20" hidden="1" x14ac:dyDescent="0.3"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2:20" x14ac:dyDescent="0.3">
      <c r="B2" s="1"/>
      <c r="C2" s="4"/>
      <c r="D2" s="12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3"/>
      <c r="S2" s="6"/>
      <c r="T2" s="1"/>
    </row>
    <row r="3" spans="2:20" ht="31.2" x14ac:dyDescent="0.3">
      <c r="B3" s="1"/>
      <c r="C3" s="7"/>
      <c r="D3" s="14"/>
      <c r="E3" s="2"/>
      <c r="F3" s="2"/>
      <c r="G3" s="2"/>
      <c r="H3" s="98" t="s">
        <v>1</v>
      </c>
      <c r="I3" s="98"/>
      <c r="J3" s="98"/>
      <c r="K3" s="98"/>
      <c r="L3" s="98"/>
      <c r="M3" s="98"/>
      <c r="N3" s="2"/>
      <c r="O3" s="2"/>
      <c r="P3" s="2"/>
      <c r="Q3" s="2"/>
      <c r="R3" s="15"/>
      <c r="S3" s="8"/>
      <c r="T3" s="1"/>
    </row>
    <row r="4" spans="2:20" x14ac:dyDescent="0.3">
      <c r="B4" s="1"/>
      <c r="C4" s="7"/>
      <c r="D4" s="14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5"/>
      <c r="S4" s="8"/>
      <c r="T4" s="1"/>
    </row>
    <row r="5" spans="2:20" x14ac:dyDescent="0.3">
      <c r="B5" s="1"/>
      <c r="C5" s="7"/>
      <c r="D5" s="1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15"/>
      <c r="S5" s="8"/>
      <c r="T5" s="1"/>
    </row>
    <row r="6" spans="2:20" x14ac:dyDescent="0.3">
      <c r="B6" s="1"/>
      <c r="C6" s="7"/>
      <c r="D6" s="14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15"/>
      <c r="S6" s="8"/>
      <c r="T6" s="1"/>
    </row>
    <row r="7" spans="2:20" ht="15" thickBot="1" x14ac:dyDescent="0.35">
      <c r="B7" s="1"/>
      <c r="C7" s="7"/>
      <c r="D7" s="16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8"/>
      <c r="S7" s="8"/>
      <c r="T7" s="1"/>
    </row>
    <row r="8" spans="2:20" x14ac:dyDescent="0.3">
      <c r="B8" s="1"/>
      <c r="C8" s="7"/>
      <c r="S8" s="8"/>
      <c r="T8" s="1"/>
    </row>
    <row r="9" spans="2:20" x14ac:dyDescent="0.3">
      <c r="B9" s="1"/>
      <c r="C9" s="7"/>
      <c r="S9" s="8"/>
      <c r="T9" s="1"/>
    </row>
    <row r="10" spans="2:20" x14ac:dyDescent="0.3">
      <c r="B10" s="1"/>
      <c r="C10" s="7"/>
      <c r="S10" s="8"/>
      <c r="T10" s="1"/>
    </row>
    <row r="11" spans="2:20" x14ac:dyDescent="0.3">
      <c r="B11" s="1"/>
      <c r="C11" s="7"/>
      <c r="S11" s="8"/>
      <c r="T11" s="1"/>
    </row>
    <row r="12" spans="2:20" x14ac:dyDescent="0.3">
      <c r="B12" s="1"/>
      <c r="C12" s="11"/>
      <c r="S12" s="8"/>
      <c r="T12" s="1"/>
    </row>
    <row r="13" spans="2:20" x14ac:dyDescent="0.3">
      <c r="B13" s="1"/>
      <c r="C13" s="7"/>
      <c r="S13" s="8"/>
      <c r="T13" s="1"/>
    </row>
    <row r="14" spans="2:20" x14ac:dyDescent="0.3">
      <c r="B14" s="1"/>
      <c r="C14" s="7"/>
      <c r="S14" s="8"/>
      <c r="T14" s="1"/>
    </row>
    <row r="15" spans="2:20" x14ac:dyDescent="0.3">
      <c r="B15" s="1"/>
      <c r="C15" s="7"/>
      <c r="S15" s="8"/>
      <c r="T15" s="1"/>
    </row>
    <row r="16" spans="2:20" x14ac:dyDescent="0.3">
      <c r="B16" s="1"/>
      <c r="C16" s="7"/>
      <c r="S16" s="8"/>
      <c r="T16" s="1"/>
    </row>
    <row r="17" spans="2:20" x14ac:dyDescent="0.3">
      <c r="B17" s="1"/>
      <c r="C17" s="7"/>
      <c r="S17" s="8"/>
      <c r="T17" s="1"/>
    </row>
    <row r="18" spans="2:20" x14ac:dyDescent="0.3">
      <c r="B18" s="1"/>
      <c r="C18" s="7"/>
      <c r="S18" s="8"/>
      <c r="T18" s="1"/>
    </row>
    <row r="19" spans="2:20" x14ac:dyDescent="0.3">
      <c r="B19" s="1"/>
      <c r="C19" s="7"/>
      <c r="S19" s="8"/>
      <c r="T19" s="1"/>
    </row>
    <row r="20" spans="2:20" x14ac:dyDescent="0.3">
      <c r="B20" s="1"/>
      <c r="C20" s="7"/>
      <c r="S20" s="8"/>
      <c r="T20" s="1"/>
    </row>
    <row r="21" spans="2:20" x14ac:dyDescent="0.3">
      <c r="B21" s="1"/>
      <c r="C21" s="7"/>
      <c r="S21" s="8"/>
      <c r="T21" s="1"/>
    </row>
    <row r="22" spans="2:20" x14ac:dyDescent="0.3">
      <c r="B22" s="1"/>
      <c r="C22" s="7"/>
      <c r="S22" s="8"/>
      <c r="T22" s="1"/>
    </row>
    <row r="23" spans="2:20" x14ac:dyDescent="0.3">
      <c r="B23" s="1"/>
      <c r="C23" s="7"/>
      <c r="S23" s="8"/>
      <c r="T23" s="1"/>
    </row>
    <row r="24" spans="2:20" x14ac:dyDescent="0.3">
      <c r="B24" s="1"/>
      <c r="C24" s="7"/>
      <c r="S24" s="8"/>
      <c r="T24" s="1"/>
    </row>
    <row r="25" spans="2:20" x14ac:dyDescent="0.3">
      <c r="B25" s="1"/>
      <c r="C25" s="7"/>
      <c r="S25" s="8"/>
      <c r="T25" s="1"/>
    </row>
    <row r="26" spans="2:20" x14ac:dyDescent="0.3">
      <c r="B26" s="1"/>
      <c r="C26" s="7"/>
      <c r="S26" s="8"/>
      <c r="T26" s="1"/>
    </row>
    <row r="27" spans="2:20" x14ac:dyDescent="0.3">
      <c r="B27" s="1"/>
      <c r="C27" s="7"/>
      <c r="S27" s="8"/>
      <c r="T27" s="1"/>
    </row>
    <row r="28" spans="2:20" x14ac:dyDescent="0.3">
      <c r="B28" s="1"/>
      <c r="C28" s="7"/>
      <c r="S28" s="8"/>
      <c r="T28" s="1"/>
    </row>
    <row r="29" spans="2:20" x14ac:dyDescent="0.3">
      <c r="B29" s="1"/>
      <c r="C29" s="7"/>
      <c r="S29" s="8"/>
      <c r="T29" s="1"/>
    </row>
    <row r="30" spans="2:20" x14ac:dyDescent="0.3">
      <c r="B30" s="1"/>
      <c r="C30" s="7"/>
      <c r="S30" s="8"/>
      <c r="T30" s="1"/>
    </row>
    <row r="31" spans="2:20" x14ac:dyDescent="0.3">
      <c r="B31" s="1"/>
      <c r="C31" s="7"/>
      <c r="S31" s="8"/>
      <c r="T31" s="1"/>
    </row>
    <row r="32" spans="2:20" x14ac:dyDescent="0.3">
      <c r="B32" s="1"/>
      <c r="C32" s="7"/>
      <c r="S32" s="8"/>
      <c r="T32" s="1"/>
    </row>
    <row r="33" spans="2:20" x14ac:dyDescent="0.3">
      <c r="B33" s="1"/>
      <c r="C33" s="7"/>
      <c r="S33" s="8"/>
      <c r="T33" s="1"/>
    </row>
    <row r="34" spans="2:20" x14ac:dyDescent="0.3">
      <c r="B34" s="1"/>
      <c r="C34" s="7"/>
      <c r="S34" s="8"/>
      <c r="T34" s="1"/>
    </row>
    <row r="35" spans="2:20" x14ac:dyDescent="0.3">
      <c r="B35" s="1"/>
      <c r="C35" s="7"/>
      <c r="S35" s="8"/>
      <c r="T35" s="1"/>
    </row>
    <row r="36" spans="2:20" x14ac:dyDescent="0.3">
      <c r="B36" s="1"/>
      <c r="C36" s="7"/>
      <c r="S36" s="8"/>
      <c r="T36" s="1"/>
    </row>
    <row r="37" spans="2:20" x14ac:dyDescent="0.3">
      <c r="B37" s="1"/>
      <c r="C37" s="7"/>
      <c r="S37" s="8"/>
      <c r="T37" s="1"/>
    </row>
    <row r="38" spans="2:20" x14ac:dyDescent="0.3">
      <c r="B38" s="1"/>
      <c r="C38" s="7"/>
      <c r="S38" s="8"/>
      <c r="T38" s="1"/>
    </row>
    <row r="39" spans="2:20" x14ac:dyDescent="0.3">
      <c r="B39" s="1"/>
      <c r="C39" s="7"/>
      <c r="S39" s="8"/>
      <c r="T39" s="1"/>
    </row>
    <row r="40" spans="2:20" x14ac:dyDescent="0.3">
      <c r="B40" s="1"/>
      <c r="C40" s="7"/>
      <c r="S40" s="8"/>
      <c r="T40" s="1"/>
    </row>
    <row r="41" spans="2:20" x14ac:dyDescent="0.3">
      <c r="B41" s="1"/>
      <c r="C41" s="7"/>
      <c r="S41" s="8"/>
      <c r="T41" s="1"/>
    </row>
    <row r="42" spans="2:20" x14ac:dyDescent="0.3">
      <c r="B42" s="1"/>
      <c r="C42" s="7"/>
      <c r="S42" s="8"/>
      <c r="T42" s="1"/>
    </row>
    <row r="43" spans="2:20" x14ac:dyDescent="0.3">
      <c r="B43" s="1"/>
      <c r="C43" s="7"/>
      <c r="S43" s="8"/>
      <c r="T43" s="1"/>
    </row>
    <row r="44" spans="2:20" x14ac:dyDescent="0.3">
      <c r="B44" s="1"/>
      <c r="C44" s="7"/>
      <c r="S44" s="8"/>
      <c r="T44" s="1"/>
    </row>
    <row r="45" spans="2:20" x14ac:dyDescent="0.3">
      <c r="B45" s="1"/>
      <c r="C45" s="7"/>
      <c r="S45" s="8"/>
      <c r="T45" s="1"/>
    </row>
    <row r="46" spans="2:20" x14ac:dyDescent="0.3">
      <c r="B46" s="1"/>
      <c r="C46" s="7"/>
      <c r="S46" s="8"/>
      <c r="T46" s="1"/>
    </row>
    <row r="47" spans="2:20" x14ac:dyDescent="0.3">
      <c r="B47" s="1"/>
      <c r="C47" s="7"/>
      <c r="S47" s="8"/>
      <c r="T47" s="1"/>
    </row>
    <row r="48" spans="2:20" x14ac:dyDescent="0.3">
      <c r="S48" s="8"/>
      <c r="T48" s="1"/>
    </row>
  </sheetData>
  <mergeCells count="1">
    <mergeCell ref="H3:M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99607-7F16-4E70-B0D8-E98289F22D9B}">
  <sheetPr codeName="Sheet3">
    <tabColor rgb="FFFF0000"/>
  </sheetPr>
  <dimension ref="A1:BT602"/>
  <sheetViews>
    <sheetView zoomScale="99" workbookViewId="0"/>
  </sheetViews>
  <sheetFormatPr defaultRowHeight="14.4" x14ac:dyDescent="0.3"/>
  <cols>
    <col min="1" max="1" width="12.21875" style="9" bestFit="1" customWidth="1"/>
    <col min="2" max="2" width="28.88671875" style="3" customWidth="1"/>
    <col min="3" max="3" width="16.44140625" style="3" bestFit="1" customWidth="1"/>
    <col min="4" max="4" width="16" style="3" bestFit="1" customWidth="1"/>
    <col min="5" max="5" width="14.77734375" style="3" customWidth="1"/>
    <col min="6" max="6" width="27.6640625" style="3" customWidth="1"/>
    <col min="7" max="7" width="19.33203125" style="3" customWidth="1"/>
    <col min="8" max="8" width="21.77734375" style="3" customWidth="1"/>
    <col min="9" max="9" width="24.77734375" style="3" customWidth="1"/>
    <col min="10" max="10" width="22.44140625" style="3" customWidth="1"/>
    <col min="11" max="11" width="9.6640625" style="3" bestFit="1" customWidth="1"/>
    <col min="12" max="12" width="10.44140625" style="3" bestFit="1" customWidth="1"/>
    <col min="13" max="13" width="17.88671875" style="3" bestFit="1" customWidth="1"/>
    <col min="14" max="14" width="13.109375" style="3" bestFit="1" customWidth="1"/>
    <col min="15" max="15" width="13.5546875" style="3" customWidth="1"/>
    <col min="16" max="69" width="8.88671875" style="3"/>
    <col min="70" max="70" width="12.6640625" style="3" customWidth="1"/>
    <col min="71" max="71" width="13" style="3" customWidth="1"/>
    <col min="72" max="72" width="15.5546875" style="3" customWidth="1"/>
    <col min="73" max="16384" width="8.88671875" style="3"/>
  </cols>
  <sheetData>
    <row r="1" spans="1:15" s="36" customFormat="1" ht="81" customHeight="1" x14ac:dyDescent="0.3">
      <c r="A1" s="33" t="s">
        <v>0</v>
      </c>
      <c r="B1" s="34" t="s">
        <v>3</v>
      </c>
      <c r="C1" s="34" t="s">
        <v>23</v>
      </c>
      <c r="D1" s="34" t="s">
        <v>5</v>
      </c>
      <c r="E1" s="34" t="s">
        <v>7</v>
      </c>
      <c r="F1" s="34" t="s">
        <v>123</v>
      </c>
      <c r="G1" s="34" t="s">
        <v>122</v>
      </c>
      <c r="H1" s="34" t="s">
        <v>121</v>
      </c>
      <c r="I1" s="34" t="s">
        <v>65</v>
      </c>
      <c r="J1" s="34" t="s">
        <v>16</v>
      </c>
      <c r="K1" s="34"/>
      <c r="L1" s="34"/>
      <c r="M1" s="34"/>
      <c r="N1" s="35"/>
      <c r="O1" s="34"/>
    </row>
    <row r="2" spans="1:15" x14ac:dyDescent="0.3">
      <c r="A2" s="38">
        <v>1</v>
      </c>
      <c r="B2" s="39"/>
      <c r="C2" s="39"/>
      <c r="D2" s="39"/>
      <c r="E2" s="39"/>
      <c r="F2" s="39"/>
      <c r="G2" s="39"/>
      <c r="H2" s="40"/>
      <c r="I2" s="39"/>
      <c r="J2" s="39"/>
      <c r="K2" s="39"/>
      <c r="L2" s="39"/>
      <c r="M2" s="41"/>
      <c r="N2" s="42"/>
      <c r="O2" s="39"/>
    </row>
    <row r="3" spans="1:15" x14ac:dyDescent="0.3">
      <c r="A3" s="38">
        <v>2</v>
      </c>
      <c r="B3" s="39" t="s">
        <v>118</v>
      </c>
      <c r="C3" s="39" t="s">
        <v>34</v>
      </c>
      <c r="D3" s="39" t="s">
        <v>24</v>
      </c>
      <c r="E3" s="41">
        <v>36558</v>
      </c>
      <c r="F3" s="41">
        <v>40152</v>
      </c>
      <c r="G3" s="39">
        <v>150000</v>
      </c>
      <c r="H3" s="40" t="s">
        <v>119</v>
      </c>
      <c r="I3" s="39" t="s">
        <v>120</v>
      </c>
      <c r="J3" s="39">
        <v>9119315759</v>
      </c>
      <c r="K3" s="39"/>
      <c r="L3" s="39"/>
      <c r="M3" s="41"/>
      <c r="N3" s="42"/>
      <c r="O3" s="39"/>
    </row>
    <row r="4" spans="1:15" x14ac:dyDescent="0.3">
      <c r="A4" s="38">
        <v>3</v>
      </c>
      <c r="B4" s="39" t="s">
        <v>136</v>
      </c>
      <c r="C4" s="39" t="s">
        <v>79</v>
      </c>
      <c r="D4" s="39" t="s">
        <v>24</v>
      </c>
      <c r="E4" s="41">
        <v>41255</v>
      </c>
      <c r="F4" s="39" t="s">
        <v>137</v>
      </c>
      <c r="G4" s="39">
        <v>45000</v>
      </c>
      <c r="H4" s="40" t="s">
        <v>137</v>
      </c>
      <c r="I4" s="39" t="s">
        <v>138</v>
      </c>
      <c r="J4" s="39">
        <v>9548115515</v>
      </c>
      <c r="K4" s="39"/>
      <c r="L4" s="39"/>
      <c r="M4" s="41"/>
      <c r="N4" s="42"/>
      <c r="O4" s="39"/>
    </row>
    <row r="5" spans="1:15" x14ac:dyDescent="0.3">
      <c r="A5" s="38"/>
      <c r="B5" s="39"/>
      <c r="C5" s="39" t="s">
        <v>28</v>
      </c>
      <c r="D5" s="39" t="s">
        <v>24</v>
      </c>
      <c r="E5" s="39"/>
      <c r="F5" s="39"/>
      <c r="G5" s="39"/>
      <c r="H5" s="40"/>
      <c r="I5" s="39"/>
      <c r="J5" s="39"/>
      <c r="K5" s="39"/>
      <c r="L5" s="39"/>
      <c r="M5" s="41"/>
      <c r="N5" s="42"/>
      <c r="O5" s="39"/>
    </row>
    <row r="6" spans="1:15" x14ac:dyDescent="0.3">
      <c r="A6" s="38"/>
      <c r="B6" s="39"/>
      <c r="C6" s="39" t="s">
        <v>29</v>
      </c>
      <c r="D6" s="39" t="s">
        <v>25</v>
      </c>
      <c r="E6" s="39"/>
      <c r="F6" s="39"/>
      <c r="G6" s="39"/>
      <c r="H6" s="40"/>
      <c r="I6" s="39"/>
      <c r="J6" s="39"/>
      <c r="K6" s="39"/>
      <c r="L6" s="39"/>
      <c r="M6" s="41"/>
      <c r="N6" s="42"/>
      <c r="O6" s="39"/>
    </row>
    <row r="7" spans="1:15" x14ac:dyDescent="0.3">
      <c r="A7" s="38"/>
      <c r="B7" s="39"/>
      <c r="C7" s="39" t="s">
        <v>30</v>
      </c>
      <c r="D7" s="39" t="s">
        <v>24</v>
      </c>
      <c r="E7" s="39"/>
      <c r="F7" s="39"/>
      <c r="G7" s="39"/>
      <c r="H7" s="40"/>
      <c r="I7" s="39"/>
      <c r="J7" s="39"/>
      <c r="K7" s="39"/>
      <c r="L7" s="39"/>
      <c r="M7" s="41"/>
      <c r="N7" s="42"/>
      <c r="O7" s="39"/>
    </row>
    <row r="8" spans="1:15" x14ac:dyDescent="0.3">
      <c r="A8" s="38"/>
      <c r="B8" s="39"/>
      <c r="C8" s="39" t="s">
        <v>79</v>
      </c>
      <c r="D8" s="39" t="s">
        <v>25</v>
      </c>
      <c r="E8" s="39"/>
      <c r="F8" s="39"/>
      <c r="G8" s="39"/>
      <c r="H8" s="40"/>
      <c r="I8" s="39"/>
      <c r="J8" s="39"/>
      <c r="K8" s="39"/>
      <c r="L8" s="39"/>
      <c r="M8" s="41"/>
      <c r="N8" s="42"/>
      <c r="O8" s="39"/>
    </row>
    <row r="9" spans="1:15" x14ac:dyDescent="0.3">
      <c r="A9" s="38"/>
      <c r="B9" s="39"/>
      <c r="C9" s="39" t="s">
        <v>32</v>
      </c>
      <c r="D9" s="39" t="s">
        <v>24</v>
      </c>
      <c r="E9" s="39"/>
      <c r="F9" s="39"/>
      <c r="G9" s="39"/>
      <c r="H9" s="40"/>
      <c r="I9" s="39"/>
      <c r="J9" s="39"/>
      <c r="K9" s="39"/>
      <c r="L9" s="39"/>
      <c r="M9" s="41"/>
      <c r="N9" s="42"/>
      <c r="O9" s="39"/>
    </row>
    <row r="10" spans="1:15" x14ac:dyDescent="0.3">
      <c r="A10" s="38"/>
      <c r="B10" s="39"/>
      <c r="C10" s="39" t="s">
        <v>33</v>
      </c>
      <c r="D10" s="39" t="s">
        <v>25</v>
      </c>
      <c r="E10" s="39"/>
      <c r="F10" s="39"/>
      <c r="G10" s="39"/>
      <c r="H10" s="40"/>
      <c r="I10" s="39"/>
      <c r="J10" s="39"/>
      <c r="K10" s="39"/>
      <c r="L10" s="39"/>
      <c r="M10" s="41"/>
      <c r="N10" s="42"/>
      <c r="O10" s="39"/>
    </row>
    <row r="11" spans="1:15" x14ac:dyDescent="0.3">
      <c r="A11" s="38"/>
      <c r="B11" s="39"/>
      <c r="C11" s="39" t="s">
        <v>35</v>
      </c>
      <c r="D11" s="39" t="s">
        <v>24</v>
      </c>
      <c r="E11" s="39"/>
      <c r="F11" s="39"/>
      <c r="G11" s="39"/>
      <c r="H11" s="40"/>
      <c r="I11" s="39"/>
      <c r="J11" s="39"/>
      <c r="K11" s="39"/>
      <c r="L11" s="39"/>
      <c r="M11" s="41"/>
      <c r="N11" s="42"/>
      <c r="O11" s="39"/>
    </row>
    <row r="12" spans="1:15" x14ac:dyDescent="0.3">
      <c r="A12" s="38"/>
      <c r="B12" s="39"/>
      <c r="C12" s="39" t="s">
        <v>36</v>
      </c>
      <c r="D12" s="39" t="s">
        <v>25</v>
      </c>
      <c r="E12" s="39"/>
      <c r="F12" s="39"/>
      <c r="G12" s="39"/>
      <c r="H12" s="40"/>
      <c r="I12" s="39"/>
      <c r="J12" s="39"/>
      <c r="K12" s="39"/>
      <c r="L12" s="39"/>
      <c r="M12" s="41"/>
      <c r="N12" s="42"/>
      <c r="O12" s="39"/>
    </row>
    <row r="13" spans="1:15" x14ac:dyDescent="0.3">
      <c r="A13" s="38"/>
      <c r="B13" s="39"/>
      <c r="C13" s="39" t="s">
        <v>37</v>
      </c>
      <c r="D13" s="39" t="s">
        <v>24</v>
      </c>
      <c r="E13" s="39"/>
      <c r="F13" s="39"/>
      <c r="G13" s="39"/>
      <c r="H13" s="40"/>
      <c r="I13" s="39"/>
      <c r="J13" s="39"/>
      <c r="K13" s="39"/>
      <c r="L13" s="39"/>
      <c r="M13" s="41"/>
      <c r="N13" s="42"/>
      <c r="O13" s="39"/>
    </row>
    <row r="14" spans="1:15" x14ac:dyDescent="0.3">
      <c r="A14" s="38"/>
      <c r="B14" s="39"/>
      <c r="C14" s="39" t="s">
        <v>38</v>
      </c>
      <c r="D14" s="39" t="s">
        <v>25</v>
      </c>
      <c r="E14" s="39"/>
      <c r="F14" s="39"/>
      <c r="G14" s="39"/>
      <c r="H14" s="40"/>
      <c r="I14" s="39"/>
      <c r="J14" s="39"/>
      <c r="K14" s="39"/>
      <c r="L14" s="39"/>
      <c r="M14" s="41"/>
      <c r="N14" s="42"/>
      <c r="O14" s="39"/>
    </row>
    <row r="15" spans="1:15" x14ac:dyDescent="0.3">
      <c r="A15" s="38"/>
      <c r="B15" s="39"/>
      <c r="C15" s="39"/>
      <c r="D15" s="39"/>
      <c r="E15" s="39"/>
      <c r="F15" s="39"/>
      <c r="G15" s="39"/>
      <c r="H15" s="40"/>
      <c r="I15" s="39"/>
      <c r="J15" s="39"/>
      <c r="K15" s="39"/>
      <c r="L15" s="39"/>
      <c r="M15" s="41"/>
      <c r="N15" s="42"/>
      <c r="O15" s="39"/>
    </row>
    <row r="16" spans="1:15" x14ac:dyDescent="0.3">
      <c r="A16" s="38"/>
      <c r="B16" s="39"/>
      <c r="C16" s="39"/>
      <c r="D16" s="39"/>
      <c r="E16" s="39"/>
      <c r="F16" s="39"/>
      <c r="G16" s="39"/>
      <c r="H16" s="40"/>
      <c r="I16" s="39"/>
      <c r="J16" s="39"/>
      <c r="K16" s="39"/>
      <c r="L16" s="39"/>
      <c r="M16" s="41"/>
      <c r="N16" s="42"/>
      <c r="O16" s="39"/>
    </row>
    <row r="17" spans="1:15" x14ac:dyDescent="0.3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</row>
    <row r="18" spans="1:15" x14ac:dyDescent="0.3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</row>
    <row r="19" spans="1:15" x14ac:dyDescent="0.3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</row>
    <row r="20" spans="1:15" x14ac:dyDescent="0.3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</row>
    <row r="21" spans="1:15" x14ac:dyDescent="0.3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1:15" x14ac:dyDescent="0.3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</row>
    <row r="23" spans="1:15" x14ac:dyDescent="0.3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</row>
    <row r="24" spans="1:15" x14ac:dyDescent="0.3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5" x14ac:dyDescent="0.3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</row>
    <row r="26" spans="1:15" x14ac:dyDescent="0.3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</row>
    <row r="27" spans="1:15" x14ac:dyDescent="0.3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</row>
    <row r="28" spans="1:15" x14ac:dyDescent="0.3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</row>
    <row r="29" spans="1:15" x14ac:dyDescent="0.3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</row>
    <row r="30" spans="1:15" x14ac:dyDescent="0.3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</row>
    <row r="31" spans="1:15" x14ac:dyDescent="0.3">
      <c r="A31" s="43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</row>
    <row r="32" spans="1:15" x14ac:dyDescent="0.3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</row>
    <row r="33" spans="1:15" x14ac:dyDescent="0.3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</row>
    <row r="34" spans="1:15" x14ac:dyDescent="0.3">
      <c r="A34" s="43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</row>
    <row r="35" spans="1:15" x14ac:dyDescent="0.3">
      <c r="A35" s="43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</row>
    <row r="36" spans="1:15" x14ac:dyDescent="0.3">
      <c r="A36" s="43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</row>
    <row r="37" spans="1:15" x14ac:dyDescent="0.3">
      <c r="A37" s="43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</row>
    <row r="38" spans="1:15" x14ac:dyDescent="0.3">
      <c r="A38" s="43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</row>
    <row r="39" spans="1:15" x14ac:dyDescent="0.3">
      <c r="A39" s="43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</row>
    <row r="40" spans="1:15" x14ac:dyDescent="0.3">
      <c r="A40" s="43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</row>
    <row r="41" spans="1:15" x14ac:dyDescent="0.3">
      <c r="A41" s="43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</row>
    <row r="42" spans="1:15" x14ac:dyDescent="0.3">
      <c r="A42" s="43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</row>
    <row r="43" spans="1:15" x14ac:dyDescent="0.3">
      <c r="A43" s="43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</row>
    <row r="44" spans="1:15" x14ac:dyDescent="0.3">
      <c r="A44" s="43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</row>
    <row r="45" spans="1:15" x14ac:dyDescent="0.3">
      <c r="A45" s="43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</row>
    <row r="46" spans="1:15" x14ac:dyDescent="0.3">
      <c r="A46" s="43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</row>
    <row r="47" spans="1:15" x14ac:dyDescent="0.3">
      <c r="A47" s="43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</row>
    <row r="48" spans="1:15" x14ac:dyDescent="0.3">
      <c r="A48" s="43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</row>
    <row r="49" spans="1:15" x14ac:dyDescent="0.3">
      <c r="A49" s="43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</row>
    <row r="50" spans="1:15" x14ac:dyDescent="0.3">
      <c r="A50" s="43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</row>
    <row r="51" spans="1:15" x14ac:dyDescent="0.3">
      <c r="A51" s="43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</row>
    <row r="52" spans="1:15" x14ac:dyDescent="0.3">
      <c r="A52" s="43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</row>
    <row r="53" spans="1:15" x14ac:dyDescent="0.3">
      <c r="A53" s="43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</row>
    <row r="54" spans="1:15" x14ac:dyDescent="0.3">
      <c r="A54" s="43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</row>
    <row r="55" spans="1:15" x14ac:dyDescent="0.3">
      <c r="A55" s="43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</row>
    <row r="56" spans="1:15" x14ac:dyDescent="0.3">
      <c r="A56" s="43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</row>
    <row r="57" spans="1:15" x14ac:dyDescent="0.3">
      <c r="A57" s="43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</row>
    <row r="58" spans="1:15" x14ac:dyDescent="0.3">
      <c r="A58" s="43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</row>
    <row r="59" spans="1:15" x14ac:dyDescent="0.3">
      <c r="A59" s="43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</row>
    <row r="60" spans="1:15" x14ac:dyDescent="0.3">
      <c r="A60" s="43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</row>
    <row r="61" spans="1:15" x14ac:dyDescent="0.3">
      <c r="A61" s="43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</row>
    <row r="62" spans="1:15" x14ac:dyDescent="0.3">
      <c r="A62" s="43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1:15" x14ac:dyDescent="0.3">
      <c r="A63" s="43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</row>
    <row r="64" spans="1:15" x14ac:dyDescent="0.3">
      <c r="A64" s="43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</row>
    <row r="65" spans="1:15" x14ac:dyDescent="0.3">
      <c r="A65" s="43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</row>
    <row r="66" spans="1:15" x14ac:dyDescent="0.3">
      <c r="A66" s="43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</row>
    <row r="67" spans="1:15" x14ac:dyDescent="0.3">
      <c r="A67" s="43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</row>
    <row r="68" spans="1:15" x14ac:dyDescent="0.3">
      <c r="A68" s="43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</row>
    <row r="69" spans="1:15" x14ac:dyDescent="0.3">
      <c r="A69" s="43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</row>
    <row r="70" spans="1:15" x14ac:dyDescent="0.3">
      <c r="A70" s="43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</row>
    <row r="71" spans="1:15" x14ac:dyDescent="0.3">
      <c r="A71" s="43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</row>
    <row r="72" spans="1:15" x14ac:dyDescent="0.3">
      <c r="A72" s="43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</row>
    <row r="73" spans="1:15" x14ac:dyDescent="0.3">
      <c r="A73" s="43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</row>
    <row r="74" spans="1:15" x14ac:dyDescent="0.3">
      <c r="A74" s="43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x14ac:dyDescent="0.3">
      <c r="A75" s="43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</row>
    <row r="76" spans="1:15" x14ac:dyDescent="0.3">
      <c r="A76" s="43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</row>
    <row r="77" spans="1:15" x14ac:dyDescent="0.3">
      <c r="A77" s="43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</row>
    <row r="78" spans="1:15" x14ac:dyDescent="0.3">
      <c r="A78" s="43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</row>
    <row r="79" spans="1:15" x14ac:dyDescent="0.3">
      <c r="A79" s="43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</row>
    <row r="80" spans="1:15" x14ac:dyDescent="0.3">
      <c r="A80" s="43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</row>
    <row r="81" spans="1:15" x14ac:dyDescent="0.3">
      <c r="A81" s="43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</row>
    <row r="82" spans="1:15" x14ac:dyDescent="0.3">
      <c r="A82" s="43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</row>
    <row r="83" spans="1:15" x14ac:dyDescent="0.3">
      <c r="A83" s="43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</row>
    <row r="84" spans="1:15" x14ac:dyDescent="0.3">
      <c r="A84" s="43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</row>
    <row r="85" spans="1:15" x14ac:dyDescent="0.3">
      <c r="A85" s="43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</row>
    <row r="86" spans="1:15" x14ac:dyDescent="0.3">
      <c r="A86" s="43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</row>
    <row r="87" spans="1:15" x14ac:dyDescent="0.3">
      <c r="A87" s="43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</row>
    <row r="88" spans="1:15" x14ac:dyDescent="0.3">
      <c r="A88" s="43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</row>
    <row r="89" spans="1:15" x14ac:dyDescent="0.3">
      <c r="A89" s="43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</row>
    <row r="90" spans="1:15" x14ac:dyDescent="0.3">
      <c r="A90" s="43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</row>
    <row r="91" spans="1:15" x14ac:dyDescent="0.3">
      <c r="A91" s="43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</row>
    <row r="92" spans="1:15" x14ac:dyDescent="0.3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</row>
    <row r="93" spans="1:15" x14ac:dyDescent="0.3">
      <c r="A93" s="43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</row>
    <row r="94" spans="1:15" x14ac:dyDescent="0.3">
      <c r="A94" s="43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</row>
    <row r="95" spans="1:15" x14ac:dyDescent="0.3">
      <c r="A95" s="43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</row>
    <row r="96" spans="1:15" x14ac:dyDescent="0.3">
      <c r="A96" s="43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</row>
    <row r="97" spans="1:15" x14ac:dyDescent="0.3">
      <c r="A97" s="43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</row>
    <row r="98" spans="1:15" x14ac:dyDescent="0.3">
      <c r="A98" s="43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</row>
    <row r="99" spans="1:15" x14ac:dyDescent="0.3">
      <c r="A99" s="43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x14ac:dyDescent="0.3">
      <c r="A100" s="43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</row>
    <row r="101" spans="1:15" x14ac:dyDescent="0.3">
      <c r="A101" s="43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</row>
    <row r="102" spans="1:15" x14ac:dyDescent="0.3">
      <c r="A102" s="43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</row>
    <row r="103" spans="1:15" x14ac:dyDescent="0.3">
      <c r="A103" s="43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</row>
    <row r="104" spans="1:15" x14ac:dyDescent="0.3">
      <c r="A104" s="43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</row>
    <row r="105" spans="1:15" x14ac:dyDescent="0.3">
      <c r="A105" s="43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</row>
    <row r="106" spans="1:15" x14ac:dyDescent="0.3">
      <c r="A106" s="43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</row>
    <row r="107" spans="1:15" x14ac:dyDescent="0.3">
      <c r="A107" s="43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</row>
    <row r="108" spans="1:15" x14ac:dyDescent="0.3">
      <c r="A108" s="43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</row>
    <row r="109" spans="1:15" x14ac:dyDescent="0.3">
      <c r="A109" s="43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</row>
    <row r="110" spans="1:15" x14ac:dyDescent="0.3">
      <c r="A110" s="43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</row>
    <row r="111" spans="1:15" x14ac:dyDescent="0.3">
      <c r="A111" s="43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</row>
    <row r="112" spans="1:15" x14ac:dyDescent="0.3">
      <c r="A112" s="43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</row>
    <row r="113" spans="1:15" x14ac:dyDescent="0.3">
      <c r="A113" s="43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</row>
    <row r="114" spans="1:15" x14ac:dyDescent="0.3">
      <c r="A114" s="43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</row>
    <row r="115" spans="1:15" x14ac:dyDescent="0.3">
      <c r="A115" s="43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</row>
    <row r="116" spans="1:15" x14ac:dyDescent="0.3">
      <c r="A116" s="43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</row>
    <row r="117" spans="1:15" x14ac:dyDescent="0.3">
      <c r="A117" s="43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</row>
    <row r="118" spans="1:15" x14ac:dyDescent="0.3">
      <c r="A118" s="43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</row>
    <row r="119" spans="1:15" x14ac:dyDescent="0.3">
      <c r="A119" s="43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</row>
    <row r="120" spans="1:15" x14ac:dyDescent="0.3">
      <c r="A120" s="43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</row>
    <row r="121" spans="1:15" x14ac:dyDescent="0.3">
      <c r="A121" s="43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</row>
    <row r="122" spans="1:15" x14ac:dyDescent="0.3">
      <c r="A122" s="43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</row>
    <row r="123" spans="1:15" x14ac:dyDescent="0.3">
      <c r="A123" s="43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</row>
    <row r="124" spans="1:15" x14ac:dyDescent="0.3">
      <c r="A124" s="43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x14ac:dyDescent="0.3">
      <c r="A125" s="43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</row>
    <row r="126" spans="1:15" x14ac:dyDescent="0.3">
      <c r="A126" s="43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</row>
    <row r="127" spans="1:15" x14ac:dyDescent="0.3">
      <c r="A127" s="43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</row>
    <row r="128" spans="1:15" x14ac:dyDescent="0.3">
      <c r="A128" s="43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</row>
    <row r="129" spans="1:15" x14ac:dyDescent="0.3">
      <c r="A129" s="43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</row>
    <row r="130" spans="1:15" x14ac:dyDescent="0.3">
      <c r="A130" s="43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</row>
    <row r="131" spans="1:15" x14ac:dyDescent="0.3">
      <c r="A131" s="43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</row>
    <row r="132" spans="1:15" x14ac:dyDescent="0.3">
      <c r="A132" s="43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</row>
    <row r="133" spans="1:15" x14ac:dyDescent="0.3">
      <c r="A133" s="43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</row>
    <row r="134" spans="1:15" x14ac:dyDescent="0.3">
      <c r="A134" s="43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</row>
    <row r="135" spans="1:15" x14ac:dyDescent="0.3">
      <c r="A135" s="43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</row>
    <row r="136" spans="1:15" x14ac:dyDescent="0.3">
      <c r="A136" s="43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</row>
    <row r="137" spans="1:15" x14ac:dyDescent="0.3">
      <c r="A137" s="43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</row>
    <row r="138" spans="1:15" x14ac:dyDescent="0.3">
      <c r="A138" s="43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</row>
    <row r="139" spans="1:15" x14ac:dyDescent="0.3">
      <c r="A139" s="43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</row>
    <row r="140" spans="1:15" x14ac:dyDescent="0.3">
      <c r="A140" s="43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</row>
    <row r="141" spans="1:15" x14ac:dyDescent="0.3">
      <c r="A141" s="43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</row>
    <row r="142" spans="1:15" x14ac:dyDescent="0.3">
      <c r="A142" s="43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</row>
    <row r="143" spans="1:15" x14ac:dyDescent="0.3">
      <c r="A143" s="43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</row>
    <row r="144" spans="1:15" x14ac:dyDescent="0.3">
      <c r="A144" s="43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</row>
    <row r="145" spans="1:15" x14ac:dyDescent="0.3">
      <c r="A145" s="43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</row>
    <row r="146" spans="1:15" x14ac:dyDescent="0.3">
      <c r="A146" s="43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</row>
    <row r="147" spans="1:15" x14ac:dyDescent="0.3">
      <c r="A147" s="43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</row>
    <row r="148" spans="1:15" x14ac:dyDescent="0.3">
      <c r="A148" s="43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</row>
    <row r="149" spans="1:15" x14ac:dyDescent="0.3">
      <c r="A149" s="43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</row>
    <row r="150" spans="1:15" x14ac:dyDescent="0.3">
      <c r="A150" s="43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5" x14ac:dyDescent="0.3">
      <c r="A151" s="43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</row>
    <row r="152" spans="1:15" x14ac:dyDescent="0.3">
      <c r="A152" s="43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</row>
    <row r="153" spans="1:15" x14ac:dyDescent="0.3">
      <c r="A153" s="43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</row>
    <row r="154" spans="1:15" x14ac:dyDescent="0.3">
      <c r="A154" s="43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</row>
    <row r="155" spans="1:15" x14ac:dyDescent="0.3">
      <c r="A155" s="43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</row>
    <row r="156" spans="1:15" x14ac:dyDescent="0.3">
      <c r="A156" s="43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</row>
    <row r="157" spans="1:15" x14ac:dyDescent="0.3">
      <c r="A157" s="43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</row>
    <row r="158" spans="1:15" x14ac:dyDescent="0.3">
      <c r="A158" s="43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</row>
    <row r="159" spans="1:15" x14ac:dyDescent="0.3">
      <c r="A159" s="43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</row>
    <row r="160" spans="1:15" x14ac:dyDescent="0.3">
      <c r="A160" s="43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</row>
    <row r="161" spans="1:15" x14ac:dyDescent="0.3">
      <c r="A161" s="43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</row>
    <row r="162" spans="1:15" x14ac:dyDescent="0.3">
      <c r="A162" s="43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</row>
    <row r="163" spans="1:15" x14ac:dyDescent="0.3">
      <c r="A163" s="43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</row>
    <row r="164" spans="1:15" x14ac:dyDescent="0.3">
      <c r="A164" s="43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</row>
    <row r="165" spans="1:15" x14ac:dyDescent="0.3">
      <c r="A165" s="43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</row>
    <row r="166" spans="1:15" x14ac:dyDescent="0.3">
      <c r="A166" s="43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</row>
    <row r="167" spans="1:15" x14ac:dyDescent="0.3">
      <c r="A167" s="43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</row>
    <row r="168" spans="1:15" x14ac:dyDescent="0.3">
      <c r="A168" s="43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</row>
    <row r="169" spans="1:15" x14ac:dyDescent="0.3">
      <c r="A169" s="43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</row>
    <row r="170" spans="1:15" x14ac:dyDescent="0.3">
      <c r="A170" s="43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</row>
    <row r="171" spans="1:15" x14ac:dyDescent="0.3">
      <c r="A171" s="43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</row>
    <row r="172" spans="1:15" x14ac:dyDescent="0.3">
      <c r="A172" s="43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</row>
    <row r="173" spans="1:15" x14ac:dyDescent="0.3">
      <c r="A173" s="43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</row>
    <row r="174" spans="1:15" x14ac:dyDescent="0.3">
      <c r="A174" s="43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</row>
    <row r="175" spans="1:15" x14ac:dyDescent="0.3">
      <c r="A175" s="43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</row>
    <row r="176" spans="1:15" x14ac:dyDescent="0.3">
      <c r="A176" s="43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</row>
    <row r="177" spans="1:15" x14ac:dyDescent="0.3">
      <c r="A177" s="43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</row>
    <row r="178" spans="1:15" x14ac:dyDescent="0.3">
      <c r="A178" s="43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</row>
    <row r="179" spans="1:15" x14ac:dyDescent="0.3">
      <c r="A179" s="43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</row>
    <row r="180" spans="1:15" x14ac:dyDescent="0.3">
      <c r="A180" s="43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</row>
    <row r="181" spans="1:15" x14ac:dyDescent="0.3">
      <c r="A181" s="43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</row>
    <row r="182" spans="1:15" x14ac:dyDescent="0.3">
      <c r="A182" s="43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</row>
    <row r="183" spans="1:15" x14ac:dyDescent="0.3">
      <c r="A183" s="43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</row>
    <row r="184" spans="1:15" x14ac:dyDescent="0.3">
      <c r="A184" s="43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</row>
    <row r="185" spans="1:15" x14ac:dyDescent="0.3">
      <c r="A185" s="43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</row>
    <row r="186" spans="1:15" x14ac:dyDescent="0.3">
      <c r="A186" s="43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</row>
    <row r="187" spans="1:15" x14ac:dyDescent="0.3">
      <c r="A187" s="43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</row>
    <row r="188" spans="1:15" x14ac:dyDescent="0.3">
      <c r="A188" s="43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</row>
    <row r="189" spans="1:15" x14ac:dyDescent="0.3">
      <c r="A189" s="43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</row>
    <row r="190" spans="1:15" x14ac:dyDescent="0.3">
      <c r="A190" s="43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</row>
    <row r="191" spans="1:15" x14ac:dyDescent="0.3">
      <c r="A191" s="43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</row>
    <row r="192" spans="1:15" x14ac:dyDescent="0.3">
      <c r="A192" s="43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</row>
    <row r="193" spans="1:15" x14ac:dyDescent="0.3">
      <c r="A193" s="43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</row>
    <row r="194" spans="1:15" x14ac:dyDescent="0.3">
      <c r="A194" s="43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</row>
    <row r="195" spans="1:15" x14ac:dyDescent="0.3">
      <c r="A195" s="43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</row>
    <row r="196" spans="1:15" x14ac:dyDescent="0.3">
      <c r="A196" s="43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</row>
    <row r="197" spans="1:15" x14ac:dyDescent="0.3">
      <c r="A197" s="43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</row>
    <row r="198" spans="1:15" x14ac:dyDescent="0.3">
      <c r="A198" s="43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</row>
    <row r="199" spans="1:15" x14ac:dyDescent="0.3">
      <c r="A199" s="43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</row>
    <row r="200" spans="1:15" x14ac:dyDescent="0.3">
      <c r="A200" s="43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</row>
    <row r="201" spans="1:15" x14ac:dyDescent="0.3">
      <c r="A201" s="43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</row>
    <row r="202" spans="1:15" x14ac:dyDescent="0.3">
      <c r="A202" s="43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</row>
    <row r="203" spans="1:15" x14ac:dyDescent="0.3">
      <c r="A203" s="43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</row>
    <row r="204" spans="1:15" x14ac:dyDescent="0.3">
      <c r="A204" s="43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</row>
    <row r="205" spans="1:15" x14ac:dyDescent="0.3">
      <c r="A205" s="43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</row>
    <row r="206" spans="1:15" x14ac:dyDescent="0.3">
      <c r="A206" s="43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</row>
    <row r="207" spans="1:15" x14ac:dyDescent="0.3">
      <c r="A207" s="43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</row>
    <row r="208" spans="1:15" x14ac:dyDescent="0.3">
      <c r="A208" s="43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</row>
    <row r="209" spans="1:15" x14ac:dyDescent="0.3">
      <c r="A209" s="43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</row>
    <row r="210" spans="1:15" x14ac:dyDescent="0.3">
      <c r="A210" s="43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</row>
    <row r="211" spans="1:15" x14ac:dyDescent="0.3">
      <c r="A211" s="43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</row>
    <row r="212" spans="1:15" x14ac:dyDescent="0.3">
      <c r="A212" s="43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</row>
    <row r="213" spans="1:15" x14ac:dyDescent="0.3">
      <c r="A213" s="43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</row>
    <row r="214" spans="1:15" x14ac:dyDescent="0.3">
      <c r="A214" s="43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</row>
    <row r="215" spans="1:15" x14ac:dyDescent="0.3">
      <c r="A215" s="43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</row>
    <row r="216" spans="1:15" x14ac:dyDescent="0.3">
      <c r="A216" s="43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</row>
    <row r="217" spans="1:15" x14ac:dyDescent="0.3">
      <c r="A217" s="43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</row>
    <row r="218" spans="1:15" x14ac:dyDescent="0.3">
      <c r="A218" s="43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</row>
    <row r="219" spans="1:15" x14ac:dyDescent="0.3">
      <c r="A219" s="43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</row>
    <row r="220" spans="1:15" x14ac:dyDescent="0.3">
      <c r="A220" s="43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</row>
    <row r="221" spans="1:15" x14ac:dyDescent="0.3">
      <c r="A221" s="43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</row>
    <row r="222" spans="1:15" x14ac:dyDescent="0.3">
      <c r="A222" s="43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</row>
    <row r="223" spans="1:15" x14ac:dyDescent="0.3">
      <c r="A223" s="43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</row>
    <row r="224" spans="1:15" x14ac:dyDescent="0.3">
      <c r="A224" s="43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</row>
    <row r="225" spans="1:15" x14ac:dyDescent="0.3">
      <c r="A225" s="43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</row>
    <row r="226" spans="1:15" x14ac:dyDescent="0.3">
      <c r="A226" s="43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</row>
    <row r="227" spans="1:15" x14ac:dyDescent="0.3">
      <c r="A227" s="43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</row>
    <row r="228" spans="1:15" x14ac:dyDescent="0.3">
      <c r="A228" s="43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</row>
    <row r="229" spans="1:15" x14ac:dyDescent="0.3">
      <c r="A229" s="43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</row>
    <row r="230" spans="1:15" x14ac:dyDescent="0.3">
      <c r="A230" s="43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</row>
    <row r="231" spans="1:15" x14ac:dyDescent="0.3">
      <c r="A231" s="43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</row>
    <row r="232" spans="1:15" x14ac:dyDescent="0.3">
      <c r="A232" s="43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</row>
    <row r="233" spans="1:15" x14ac:dyDescent="0.3">
      <c r="A233" s="43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</row>
    <row r="234" spans="1:15" x14ac:dyDescent="0.3">
      <c r="A234" s="43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</row>
    <row r="235" spans="1:15" x14ac:dyDescent="0.3">
      <c r="A235" s="43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</row>
    <row r="236" spans="1:15" x14ac:dyDescent="0.3">
      <c r="A236" s="43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</row>
    <row r="237" spans="1:15" x14ac:dyDescent="0.3">
      <c r="A237" s="43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</row>
    <row r="238" spans="1:15" x14ac:dyDescent="0.3">
      <c r="A238" s="43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</row>
    <row r="239" spans="1:15" x14ac:dyDescent="0.3">
      <c r="A239" s="43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</row>
    <row r="240" spans="1:15" x14ac:dyDescent="0.3">
      <c r="A240" s="43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</row>
    <row r="241" spans="1:15" x14ac:dyDescent="0.3">
      <c r="A241" s="43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</row>
    <row r="242" spans="1:15" x14ac:dyDescent="0.3">
      <c r="A242" s="43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</row>
    <row r="243" spans="1:15" x14ac:dyDescent="0.3">
      <c r="A243" s="43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</row>
    <row r="244" spans="1:15" x14ac:dyDescent="0.3">
      <c r="A244" s="43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</row>
    <row r="245" spans="1:15" x14ac:dyDescent="0.3">
      <c r="A245" s="43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</row>
    <row r="246" spans="1:15" x14ac:dyDescent="0.3">
      <c r="A246" s="43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</row>
    <row r="247" spans="1:15" x14ac:dyDescent="0.3">
      <c r="A247" s="43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</row>
    <row r="248" spans="1:15" x14ac:dyDescent="0.3">
      <c r="A248" s="43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</row>
    <row r="249" spans="1:15" x14ac:dyDescent="0.3">
      <c r="A249" s="43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</row>
    <row r="250" spans="1:15" x14ac:dyDescent="0.3">
      <c r="A250" s="43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</row>
    <row r="251" spans="1:15" x14ac:dyDescent="0.3">
      <c r="A251" s="43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</row>
    <row r="252" spans="1:15" x14ac:dyDescent="0.3">
      <c r="A252" s="43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</row>
    <row r="253" spans="1:15" x14ac:dyDescent="0.3">
      <c r="A253" s="43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</row>
    <row r="254" spans="1:15" x14ac:dyDescent="0.3">
      <c r="A254" s="43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</row>
    <row r="255" spans="1:15" x14ac:dyDescent="0.3">
      <c r="A255" s="43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</row>
    <row r="256" spans="1:15" x14ac:dyDescent="0.3">
      <c r="A256" s="43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</row>
    <row r="257" spans="1:15" x14ac:dyDescent="0.3">
      <c r="A257" s="43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</row>
    <row r="258" spans="1:15" x14ac:dyDescent="0.3">
      <c r="A258" s="43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</row>
    <row r="259" spans="1:15" x14ac:dyDescent="0.3">
      <c r="A259" s="43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</row>
    <row r="260" spans="1:15" x14ac:dyDescent="0.3">
      <c r="A260" s="43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</row>
    <row r="261" spans="1:15" x14ac:dyDescent="0.3">
      <c r="A261" s="43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</row>
    <row r="262" spans="1:15" x14ac:dyDescent="0.3">
      <c r="A262" s="43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</row>
    <row r="263" spans="1:15" x14ac:dyDescent="0.3">
      <c r="A263" s="43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</row>
    <row r="264" spans="1:15" x14ac:dyDescent="0.3">
      <c r="A264" s="43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</row>
    <row r="265" spans="1:15" x14ac:dyDescent="0.3">
      <c r="A265" s="43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</row>
    <row r="266" spans="1:15" x14ac:dyDescent="0.3">
      <c r="A266" s="43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</row>
    <row r="267" spans="1:15" x14ac:dyDescent="0.3">
      <c r="A267" s="43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</row>
    <row r="268" spans="1:15" x14ac:dyDescent="0.3">
      <c r="A268" s="43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</row>
    <row r="269" spans="1:15" x14ac:dyDescent="0.3">
      <c r="A269" s="43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</row>
    <row r="270" spans="1:15" x14ac:dyDescent="0.3">
      <c r="A270" s="43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</row>
    <row r="271" spans="1:15" x14ac:dyDescent="0.3">
      <c r="A271" s="43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</row>
    <row r="272" spans="1:15" x14ac:dyDescent="0.3">
      <c r="A272" s="43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</row>
    <row r="273" spans="1:15" x14ac:dyDescent="0.3">
      <c r="A273" s="43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</row>
    <row r="274" spans="1:15" x14ac:dyDescent="0.3">
      <c r="A274" s="43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</row>
    <row r="275" spans="1:15" x14ac:dyDescent="0.3">
      <c r="A275" s="43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</row>
    <row r="276" spans="1:15" x14ac:dyDescent="0.3">
      <c r="A276" s="43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</row>
    <row r="277" spans="1:15" x14ac:dyDescent="0.3">
      <c r="A277" s="43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</row>
    <row r="278" spans="1:15" x14ac:dyDescent="0.3">
      <c r="A278" s="43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</row>
    <row r="279" spans="1:15" x14ac:dyDescent="0.3">
      <c r="A279" s="43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</row>
    <row r="280" spans="1:15" x14ac:dyDescent="0.3">
      <c r="A280" s="43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</row>
    <row r="281" spans="1:15" x14ac:dyDescent="0.3">
      <c r="A281" s="43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</row>
    <row r="282" spans="1:15" x14ac:dyDescent="0.3">
      <c r="A282" s="43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</row>
    <row r="283" spans="1:15" x14ac:dyDescent="0.3">
      <c r="A283" s="43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</row>
    <row r="284" spans="1:15" x14ac:dyDescent="0.3">
      <c r="A284" s="43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</row>
    <row r="285" spans="1:15" x14ac:dyDescent="0.3">
      <c r="A285" s="43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</row>
    <row r="286" spans="1:15" x14ac:dyDescent="0.3">
      <c r="A286" s="43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</row>
    <row r="287" spans="1:15" x14ac:dyDescent="0.3">
      <c r="A287" s="43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</row>
    <row r="288" spans="1:15" x14ac:dyDescent="0.3">
      <c r="A288" s="43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</row>
    <row r="289" spans="1:15" x14ac:dyDescent="0.3">
      <c r="A289" s="43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</row>
    <row r="290" spans="1:15" x14ac:dyDescent="0.3">
      <c r="A290" s="43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</row>
    <row r="291" spans="1:15" x14ac:dyDescent="0.3">
      <c r="A291" s="43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</row>
    <row r="292" spans="1:15" x14ac:dyDescent="0.3">
      <c r="A292" s="43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</row>
    <row r="293" spans="1:15" x14ac:dyDescent="0.3">
      <c r="A293" s="43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</row>
    <row r="294" spans="1:15" x14ac:dyDescent="0.3">
      <c r="A294" s="43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</row>
    <row r="295" spans="1:15" x14ac:dyDescent="0.3">
      <c r="A295" s="43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</row>
    <row r="296" spans="1:15" x14ac:dyDescent="0.3">
      <c r="A296" s="43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</row>
    <row r="297" spans="1:15" x14ac:dyDescent="0.3">
      <c r="A297" s="43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</row>
    <row r="298" spans="1:15" x14ac:dyDescent="0.3">
      <c r="A298" s="43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</row>
    <row r="299" spans="1:15" x14ac:dyDescent="0.3">
      <c r="A299" s="43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</row>
    <row r="300" spans="1:15" x14ac:dyDescent="0.3">
      <c r="A300" s="43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</row>
    <row r="301" spans="1:15" x14ac:dyDescent="0.3">
      <c r="A301" s="43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</row>
    <row r="302" spans="1:15" x14ac:dyDescent="0.3">
      <c r="A302" s="43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</row>
    <row r="303" spans="1:15" x14ac:dyDescent="0.3">
      <c r="A303" s="43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</row>
    <row r="304" spans="1:15" x14ac:dyDescent="0.3">
      <c r="A304" s="43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</row>
    <row r="305" spans="1:15" x14ac:dyDescent="0.3">
      <c r="A305" s="43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</row>
    <row r="306" spans="1:15" x14ac:dyDescent="0.3">
      <c r="A306" s="43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</row>
    <row r="307" spans="1:15" x14ac:dyDescent="0.3">
      <c r="A307" s="43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</row>
    <row r="308" spans="1:15" x14ac:dyDescent="0.3">
      <c r="A308" s="43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</row>
    <row r="309" spans="1:15" x14ac:dyDescent="0.3">
      <c r="A309" s="43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</row>
    <row r="310" spans="1:15" x14ac:dyDescent="0.3">
      <c r="A310" s="43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</row>
    <row r="311" spans="1:15" x14ac:dyDescent="0.3">
      <c r="A311" s="43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</row>
    <row r="312" spans="1:15" x14ac:dyDescent="0.3">
      <c r="A312" s="43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</row>
    <row r="313" spans="1:15" x14ac:dyDescent="0.3">
      <c r="A313" s="43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</row>
    <row r="314" spans="1:15" x14ac:dyDescent="0.3">
      <c r="A314" s="43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</row>
    <row r="315" spans="1:15" x14ac:dyDescent="0.3">
      <c r="A315" s="43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</row>
    <row r="316" spans="1:15" x14ac:dyDescent="0.3">
      <c r="A316" s="43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</row>
    <row r="317" spans="1:15" x14ac:dyDescent="0.3">
      <c r="A317" s="43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</row>
    <row r="318" spans="1:15" x14ac:dyDescent="0.3">
      <c r="A318" s="43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</row>
    <row r="319" spans="1:15" x14ac:dyDescent="0.3">
      <c r="A319" s="43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</row>
    <row r="320" spans="1:15" x14ac:dyDescent="0.3">
      <c r="A320" s="43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</row>
    <row r="321" spans="1:15" x14ac:dyDescent="0.3">
      <c r="A321" s="43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</row>
    <row r="322" spans="1:15" x14ac:dyDescent="0.3">
      <c r="A322" s="43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</row>
    <row r="323" spans="1:15" x14ac:dyDescent="0.3">
      <c r="A323" s="43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</row>
    <row r="324" spans="1:15" x14ac:dyDescent="0.3">
      <c r="A324" s="43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</row>
    <row r="325" spans="1:15" x14ac:dyDescent="0.3">
      <c r="A325" s="43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</row>
    <row r="326" spans="1:15" x14ac:dyDescent="0.3">
      <c r="A326" s="43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</row>
    <row r="327" spans="1:15" x14ac:dyDescent="0.3">
      <c r="A327" s="43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</row>
    <row r="328" spans="1:15" x14ac:dyDescent="0.3">
      <c r="A328" s="43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</row>
    <row r="329" spans="1:15" x14ac:dyDescent="0.3">
      <c r="A329" s="43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</row>
    <row r="330" spans="1:15" x14ac:dyDescent="0.3">
      <c r="A330" s="43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</row>
    <row r="331" spans="1:15" x14ac:dyDescent="0.3">
      <c r="A331" s="43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</row>
    <row r="332" spans="1:15" x14ac:dyDescent="0.3">
      <c r="A332" s="43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</row>
    <row r="333" spans="1:15" x14ac:dyDescent="0.3">
      <c r="A333" s="43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</row>
    <row r="334" spans="1:15" x14ac:dyDescent="0.3">
      <c r="A334" s="43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</row>
    <row r="335" spans="1:15" x14ac:dyDescent="0.3">
      <c r="A335" s="43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</row>
    <row r="336" spans="1:15" x14ac:dyDescent="0.3">
      <c r="A336" s="43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</row>
    <row r="337" spans="1:15" x14ac:dyDescent="0.3">
      <c r="A337" s="43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</row>
    <row r="338" spans="1:15" x14ac:dyDescent="0.3">
      <c r="A338" s="43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</row>
    <row r="339" spans="1:15" x14ac:dyDescent="0.3">
      <c r="A339" s="43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</row>
    <row r="340" spans="1:15" x14ac:dyDescent="0.3">
      <c r="A340" s="43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</row>
    <row r="341" spans="1:15" x14ac:dyDescent="0.3">
      <c r="A341" s="43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</row>
    <row r="342" spans="1:15" x14ac:dyDescent="0.3">
      <c r="A342" s="43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</row>
    <row r="343" spans="1:15" x14ac:dyDescent="0.3">
      <c r="A343" s="43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</row>
    <row r="344" spans="1:15" x14ac:dyDescent="0.3">
      <c r="A344" s="43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</row>
    <row r="345" spans="1:15" x14ac:dyDescent="0.3">
      <c r="A345" s="43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</row>
    <row r="346" spans="1:15" x14ac:dyDescent="0.3">
      <c r="A346" s="43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</row>
    <row r="347" spans="1:15" x14ac:dyDescent="0.3">
      <c r="A347" s="43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</row>
    <row r="348" spans="1:15" x14ac:dyDescent="0.3">
      <c r="A348" s="43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</row>
    <row r="349" spans="1:15" x14ac:dyDescent="0.3">
      <c r="A349" s="43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</row>
    <row r="350" spans="1:15" x14ac:dyDescent="0.3">
      <c r="A350" s="43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</row>
    <row r="351" spans="1:15" x14ac:dyDescent="0.3">
      <c r="A351" s="43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</row>
    <row r="352" spans="1:15" x14ac:dyDescent="0.3">
      <c r="A352" s="43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</row>
    <row r="353" spans="1:15" x14ac:dyDescent="0.3">
      <c r="A353" s="43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</row>
    <row r="354" spans="1:15" x14ac:dyDescent="0.3">
      <c r="A354" s="43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</row>
    <row r="355" spans="1:15" x14ac:dyDescent="0.3">
      <c r="A355" s="43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</row>
    <row r="356" spans="1:15" x14ac:dyDescent="0.3">
      <c r="A356" s="43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</row>
    <row r="357" spans="1:15" x14ac:dyDescent="0.3">
      <c r="A357" s="43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</row>
    <row r="358" spans="1:15" x14ac:dyDescent="0.3">
      <c r="A358" s="43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</row>
    <row r="359" spans="1:15" x14ac:dyDescent="0.3">
      <c r="A359" s="43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</row>
    <row r="360" spans="1:15" x14ac:dyDescent="0.3">
      <c r="A360" s="43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</row>
    <row r="361" spans="1:15" x14ac:dyDescent="0.3">
      <c r="A361" s="43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</row>
    <row r="362" spans="1:15" x14ac:dyDescent="0.3">
      <c r="A362" s="43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</row>
    <row r="363" spans="1:15" x14ac:dyDescent="0.3">
      <c r="A363" s="43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</row>
    <row r="364" spans="1:15" x14ac:dyDescent="0.3">
      <c r="A364" s="43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</row>
    <row r="365" spans="1:15" x14ac:dyDescent="0.3">
      <c r="A365" s="43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</row>
    <row r="366" spans="1:15" x14ac:dyDescent="0.3">
      <c r="A366" s="43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</row>
    <row r="367" spans="1:15" x14ac:dyDescent="0.3">
      <c r="A367" s="43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</row>
    <row r="368" spans="1:15" x14ac:dyDescent="0.3">
      <c r="A368" s="43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</row>
    <row r="369" spans="1:15" x14ac:dyDescent="0.3">
      <c r="A369" s="43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</row>
    <row r="370" spans="1:15" x14ac:dyDescent="0.3">
      <c r="A370" s="43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</row>
    <row r="371" spans="1:15" x14ac:dyDescent="0.3">
      <c r="A371" s="43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</row>
    <row r="372" spans="1:15" x14ac:dyDescent="0.3">
      <c r="A372" s="43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</row>
    <row r="373" spans="1:15" x14ac:dyDescent="0.3">
      <c r="A373" s="43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</row>
    <row r="374" spans="1:15" x14ac:dyDescent="0.3">
      <c r="A374" s="43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</row>
    <row r="375" spans="1:15" x14ac:dyDescent="0.3">
      <c r="A375" s="43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</row>
    <row r="376" spans="1:15" x14ac:dyDescent="0.3">
      <c r="A376" s="43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</row>
    <row r="377" spans="1:15" x14ac:dyDescent="0.3">
      <c r="A377" s="43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</row>
    <row r="378" spans="1:15" x14ac:dyDescent="0.3">
      <c r="A378" s="43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</row>
    <row r="379" spans="1:15" x14ac:dyDescent="0.3">
      <c r="A379" s="43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</row>
    <row r="380" spans="1:15" x14ac:dyDescent="0.3">
      <c r="A380" s="43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</row>
    <row r="381" spans="1:15" x14ac:dyDescent="0.3">
      <c r="A381" s="43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</row>
    <row r="382" spans="1:15" x14ac:dyDescent="0.3">
      <c r="A382" s="43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</row>
    <row r="383" spans="1:15" x14ac:dyDescent="0.3">
      <c r="A383" s="43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</row>
    <row r="384" spans="1:15" x14ac:dyDescent="0.3">
      <c r="A384" s="43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</row>
    <row r="385" spans="1:15" x14ac:dyDescent="0.3">
      <c r="A385" s="43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</row>
    <row r="386" spans="1:15" x14ac:dyDescent="0.3">
      <c r="A386" s="43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</row>
    <row r="387" spans="1:15" x14ac:dyDescent="0.3">
      <c r="A387" s="43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</row>
    <row r="388" spans="1:15" x14ac:dyDescent="0.3">
      <c r="A388" s="43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</row>
    <row r="389" spans="1:15" x14ac:dyDescent="0.3">
      <c r="A389" s="43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</row>
    <row r="390" spans="1:15" x14ac:dyDescent="0.3">
      <c r="A390" s="43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</row>
    <row r="391" spans="1:15" x14ac:dyDescent="0.3">
      <c r="A391" s="43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</row>
    <row r="392" spans="1:15" x14ac:dyDescent="0.3">
      <c r="A392" s="43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</row>
    <row r="393" spans="1:15" x14ac:dyDescent="0.3">
      <c r="A393" s="43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</row>
    <row r="394" spans="1:15" x14ac:dyDescent="0.3">
      <c r="A394" s="43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</row>
    <row r="395" spans="1:15" x14ac:dyDescent="0.3">
      <c r="A395" s="43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</row>
    <row r="396" spans="1:15" x14ac:dyDescent="0.3">
      <c r="A396" s="43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</row>
    <row r="397" spans="1:15" x14ac:dyDescent="0.3">
      <c r="A397" s="43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</row>
    <row r="398" spans="1:15" x14ac:dyDescent="0.3">
      <c r="A398" s="43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</row>
    <row r="399" spans="1:15" x14ac:dyDescent="0.3">
      <c r="A399" s="43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</row>
    <row r="400" spans="1:15" x14ac:dyDescent="0.3">
      <c r="A400" s="43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</row>
    <row r="401" spans="1:15" x14ac:dyDescent="0.3">
      <c r="A401" s="43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</row>
    <row r="402" spans="1:15" x14ac:dyDescent="0.3">
      <c r="A402" s="43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</row>
    <row r="403" spans="1:15" x14ac:dyDescent="0.3">
      <c r="A403" s="43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</row>
    <row r="404" spans="1:15" x14ac:dyDescent="0.3">
      <c r="A404" s="43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</row>
    <row r="405" spans="1:15" x14ac:dyDescent="0.3">
      <c r="A405" s="43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</row>
    <row r="406" spans="1:15" x14ac:dyDescent="0.3">
      <c r="A406" s="43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</row>
    <row r="407" spans="1:15" x14ac:dyDescent="0.3">
      <c r="A407" s="43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</row>
    <row r="408" spans="1:15" x14ac:dyDescent="0.3">
      <c r="A408" s="43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</row>
    <row r="409" spans="1:15" x14ac:dyDescent="0.3">
      <c r="A409" s="43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</row>
    <row r="410" spans="1:15" x14ac:dyDescent="0.3">
      <c r="A410" s="43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</row>
    <row r="411" spans="1:15" x14ac:dyDescent="0.3">
      <c r="A411" s="43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</row>
    <row r="412" spans="1:15" x14ac:dyDescent="0.3">
      <c r="A412" s="43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</row>
    <row r="413" spans="1:15" x14ac:dyDescent="0.3">
      <c r="A413" s="43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</row>
    <row r="414" spans="1:15" x14ac:dyDescent="0.3">
      <c r="A414" s="43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</row>
    <row r="415" spans="1:15" x14ac:dyDescent="0.3">
      <c r="A415" s="43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</row>
    <row r="416" spans="1:15" x14ac:dyDescent="0.3">
      <c r="A416" s="43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</row>
    <row r="417" spans="1:15" x14ac:dyDescent="0.3">
      <c r="A417" s="43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</row>
    <row r="418" spans="1:15" x14ac:dyDescent="0.3">
      <c r="A418" s="43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</row>
    <row r="419" spans="1:15" x14ac:dyDescent="0.3">
      <c r="A419" s="43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</row>
    <row r="420" spans="1:15" x14ac:dyDescent="0.3">
      <c r="A420" s="43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</row>
    <row r="421" spans="1:15" x14ac:dyDescent="0.3">
      <c r="A421" s="43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</row>
    <row r="422" spans="1:15" x14ac:dyDescent="0.3">
      <c r="A422" s="43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</row>
    <row r="423" spans="1:15" x14ac:dyDescent="0.3">
      <c r="A423" s="43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</row>
    <row r="424" spans="1:15" x14ac:dyDescent="0.3">
      <c r="A424" s="43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</row>
    <row r="425" spans="1:15" x14ac:dyDescent="0.3">
      <c r="A425" s="43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</row>
    <row r="426" spans="1:15" x14ac:dyDescent="0.3">
      <c r="A426" s="43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</row>
    <row r="427" spans="1:15" x14ac:dyDescent="0.3">
      <c r="A427" s="43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</row>
    <row r="428" spans="1:15" x14ac:dyDescent="0.3">
      <c r="A428" s="43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</row>
    <row r="429" spans="1:15" x14ac:dyDescent="0.3">
      <c r="A429" s="43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</row>
    <row r="430" spans="1:15" x14ac:dyDescent="0.3">
      <c r="A430" s="43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</row>
    <row r="431" spans="1:15" x14ac:dyDescent="0.3">
      <c r="A431" s="43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</row>
    <row r="432" spans="1:15" x14ac:dyDescent="0.3">
      <c r="A432" s="43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</row>
    <row r="433" spans="1:15" x14ac:dyDescent="0.3">
      <c r="A433" s="43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</row>
    <row r="434" spans="1:15" x14ac:dyDescent="0.3">
      <c r="A434" s="43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</row>
    <row r="435" spans="1:15" x14ac:dyDescent="0.3">
      <c r="A435" s="43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</row>
    <row r="436" spans="1:15" x14ac:dyDescent="0.3">
      <c r="A436" s="43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</row>
    <row r="437" spans="1:15" x14ac:dyDescent="0.3">
      <c r="A437" s="43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</row>
    <row r="438" spans="1:15" x14ac:dyDescent="0.3">
      <c r="A438" s="43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</row>
    <row r="439" spans="1:15" x14ac:dyDescent="0.3">
      <c r="A439" s="43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</row>
    <row r="440" spans="1:15" x14ac:dyDescent="0.3">
      <c r="A440" s="43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</row>
    <row r="441" spans="1:15" x14ac:dyDescent="0.3">
      <c r="A441" s="43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</row>
    <row r="442" spans="1:15" x14ac:dyDescent="0.3">
      <c r="A442" s="43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</row>
    <row r="443" spans="1:15" x14ac:dyDescent="0.3">
      <c r="A443" s="43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</row>
    <row r="444" spans="1:15" x14ac:dyDescent="0.3">
      <c r="A444" s="43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</row>
    <row r="445" spans="1:15" x14ac:dyDescent="0.3">
      <c r="A445" s="43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</row>
    <row r="446" spans="1:15" x14ac:dyDescent="0.3">
      <c r="A446" s="43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</row>
    <row r="447" spans="1:15" x14ac:dyDescent="0.3">
      <c r="A447" s="43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</row>
    <row r="448" spans="1:15" x14ac:dyDescent="0.3">
      <c r="A448" s="43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</row>
    <row r="449" spans="1:15" x14ac:dyDescent="0.3">
      <c r="A449" s="43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</row>
    <row r="450" spans="1:15" x14ac:dyDescent="0.3">
      <c r="A450" s="43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</row>
    <row r="451" spans="1:15" x14ac:dyDescent="0.3">
      <c r="A451" s="43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</row>
    <row r="452" spans="1:15" x14ac:dyDescent="0.3">
      <c r="A452" s="43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</row>
    <row r="453" spans="1:15" x14ac:dyDescent="0.3">
      <c r="A453" s="43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</row>
    <row r="454" spans="1:15" x14ac:dyDescent="0.3">
      <c r="A454" s="43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</row>
    <row r="455" spans="1:15" x14ac:dyDescent="0.3">
      <c r="A455" s="43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</row>
    <row r="456" spans="1:15" x14ac:dyDescent="0.3">
      <c r="A456" s="43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</row>
    <row r="457" spans="1:15" x14ac:dyDescent="0.3">
      <c r="A457" s="43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</row>
    <row r="458" spans="1:15" x14ac:dyDescent="0.3">
      <c r="A458" s="43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</row>
    <row r="459" spans="1:15" x14ac:dyDescent="0.3">
      <c r="A459" s="43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</row>
    <row r="460" spans="1:15" x14ac:dyDescent="0.3">
      <c r="A460" s="43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</row>
    <row r="461" spans="1:15" x14ac:dyDescent="0.3">
      <c r="A461" s="43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</row>
    <row r="462" spans="1:15" x14ac:dyDescent="0.3">
      <c r="A462" s="43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</row>
    <row r="463" spans="1:15" x14ac:dyDescent="0.3">
      <c r="A463" s="43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</row>
    <row r="464" spans="1:15" x14ac:dyDescent="0.3">
      <c r="A464" s="43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</row>
    <row r="465" spans="1:15" x14ac:dyDescent="0.3">
      <c r="A465" s="43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</row>
    <row r="466" spans="1:15" x14ac:dyDescent="0.3">
      <c r="A466" s="43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</row>
    <row r="467" spans="1:15" x14ac:dyDescent="0.3">
      <c r="A467" s="43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</row>
    <row r="468" spans="1:15" x14ac:dyDescent="0.3">
      <c r="A468" s="43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</row>
    <row r="469" spans="1:15" x14ac:dyDescent="0.3">
      <c r="A469" s="43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</row>
    <row r="470" spans="1:15" x14ac:dyDescent="0.3">
      <c r="A470" s="43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</row>
    <row r="471" spans="1:15" x14ac:dyDescent="0.3">
      <c r="A471" s="43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</row>
    <row r="472" spans="1:15" x14ac:dyDescent="0.3">
      <c r="A472" s="43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</row>
    <row r="473" spans="1:15" x14ac:dyDescent="0.3">
      <c r="A473" s="43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</row>
    <row r="474" spans="1:15" x14ac:dyDescent="0.3">
      <c r="A474" s="43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</row>
    <row r="475" spans="1:15" x14ac:dyDescent="0.3">
      <c r="A475" s="43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</row>
    <row r="476" spans="1:15" x14ac:dyDescent="0.3">
      <c r="A476" s="43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</row>
    <row r="477" spans="1:15" x14ac:dyDescent="0.3">
      <c r="A477" s="43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</row>
    <row r="478" spans="1:15" x14ac:dyDescent="0.3">
      <c r="A478" s="43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</row>
    <row r="479" spans="1:15" x14ac:dyDescent="0.3">
      <c r="A479" s="43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</row>
    <row r="480" spans="1:15" x14ac:dyDescent="0.3">
      <c r="A480" s="43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</row>
    <row r="481" spans="1:15" x14ac:dyDescent="0.3">
      <c r="A481" s="43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</row>
    <row r="482" spans="1:15" x14ac:dyDescent="0.3">
      <c r="A482" s="43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</row>
    <row r="483" spans="1:15" x14ac:dyDescent="0.3">
      <c r="A483" s="43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</row>
    <row r="484" spans="1:15" x14ac:dyDescent="0.3">
      <c r="A484" s="43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</row>
    <row r="485" spans="1:15" x14ac:dyDescent="0.3">
      <c r="A485" s="43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</row>
    <row r="486" spans="1:15" x14ac:dyDescent="0.3">
      <c r="A486" s="43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</row>
    <row r="487" spans="1:15" x14ac:dyDescent="0.3">
      <c r="A487" s="43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</row>
    <row r="488" spans="1:15" x14ac:dyDescent="0.3">
      <c r="A488" s="43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</row>
    <row r="489" spans="1:15" x14ac:dyDescent="0.3">
      <c r="A489" s="43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</row>
    <row r="490" spans="1:15" x14ac:dyDescent="0.3">
      <c r="A490" s="43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</row>
    <row r="491" spans="1:15" x14ac:dyDescent="0.3">
      <c r="A491" s="43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</row>
    <row r="492" spans="1:15" x14ac:dyDescent="0.3">
      <c r="A492" s="43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</row>
    <row r="493" spans="1:15" x14ac:dyDescent="0.3">
      <c r="A493" s="43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</row>
    <row r="494" spans="1:15" x14ac:dyDescent="0.3">
      <c r="A494" s="43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</row>
    <row r="495" spans="1:15" x14ac:dyDescent="0.3">
      <c r="A495" s="43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</row>
    <row r="496" spans="1:15" x14ac:dyDescent="0.3">
      <c r="A496" s="43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</row>
    <row r="497" spans="1:15" x14ac:dyDescent="0.3">
      <c r="A497" s="43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</row>
    <row r="498" spans="1:15" x14ac:dyDescent="0.3">
      <c r="A498" s="43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</row>
    <row r="499" spans="1:15" x14ac:dyDescent="0.3">
      <c r="A499" s="43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</row>
    <row r="500" spans="1:15" x14ac:dyDescent="0.3">
      <c r="A500" s="43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</row>
    <row r="501" spans="1:15" x14ac:dyDescent="0.3">
      <c r="A501" s="43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</row>
    <row r="502" spans="1:15" x14ac:dyDescent="0.3">
      <c r="A502" s="43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</row>
    <row r="503" spans="1:15" x14ac:dyDescent="0.3">
      <c r="A503" s="43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</row>
    <row r="504" spans="1:15" x14ac:dyDescent="0.3">
      <c r="A504" s="43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</row>
    <row r="505" spans="1:15" x14ac:dyDescent="0.3">
      <c r="A505" s="43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</row>
    <row r="506" spans="1:15" x14ac:dyDescent="0.3">
      <c r="A506" s="43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</row>
    <row r="507" spans="1:15" x14ac:dyDescent="0.3">
      <c r="A507" s="43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</row>
    <row r="508" spans="1:15" x14ac:dyDescent="0.3">
      <c r="A508" s="43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</row>
    <row r="509" spans="1:15" x14ac:dyDescent="0.3">
      <c r="A509" s="43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</row>
    <row r="510" spans="1:15" x14ac:dyDescent="0.3">
      <c r="A510" s="43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</row>
    <row r="511" spans="1:15" x14ac:dyDescent="0.3">
      <c r="A511" s="43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</row>
    <row r="512" spans="1:15" x14ac:dyDescent="0.3">
      <c r="A512" s="43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</row>
    <row r="513" spans="1:15" x14ac:dyDescent="0.3">
      <c r="A513" s="43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</row>
    <row r="514" spans="1:15" x14ac:dyDescent="0.3">
      <c r="A514" s="43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</row>
    <row r="515" spans="1:15" x14ac:dyDescent="0.3">
      <c r="A515" s="43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</row>
    <row r="516" spans="1:15" x14ac:dyDescent="0.3">
      <c r="A516" s="43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</row>
    <row r="517" spans="1:15" x14ac:dyDescent="0.3">
      <c r="A517" s="43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</row>
    <row r="518" spans="1:15" x14ac:dyDescent="0.3">
      <c r="A518" s="43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</row>
    <row r="519" spans="1:15" x14ac:dyDescent="0.3">
      <c r="A519" s="43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</row>
    <row r="520" spans="1:15" x14ac:dyDescent="0.3">
      <c r="A520" s="43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</row>
    <row r="521" spans="1:15" x14ac:dyDescent="0.3">
      <c r="A521" s="43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</row>
    <row r="522" spans="1:15" x14ac:dyDescent="0.3">
      <c r="A522" s="43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</row>
    <row r="523" spans="1:15" x14ac:dyDescent="0.3">
      <c r="A523" s="43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</row>
    <row r="524" spans="1:15" x14ac:dyDescent="0.3">
      <c r="A524" s="43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</row>
    <row r="525" spans="1:15" x14ac:dyDescent="0.3">
      <c r="A525" s="43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</row>
    <row r="526" spans="1:15" x14ac:dyDescent="0.3">
      <c r="A526" s="43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</row>
    <row r="527" spans="1:15" x14ac:dyDescent="0.3">
      <c r="A527" s="43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</row>
    <row r="528" spans="1:15" x14ac:dyDescent="0.3">
      <c r="A528" s="43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</row>
    <row r="529" spans="1:15" x14ac:dyDescent="0.3">
      <c r="A529" s="43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</row>
    <row r="530" spans="1:15" x14ac:dyDescent="0.3">
      <c r="A530" s="43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</row>
    <row r="531" spans="1:15" x14ac:dyDescent="0.3">
      <c r="A531" s="43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</row>
    <row r="532" spans="1:15" x14ac:dyDescent="0.3">
      <c r="A532" s="43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</row>
    <row r="533" spans="1:15" x14ac:dyDescent="0.3">
      <c r="A533" s="43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</row>
    <row r="534" spans="1:15" x14ac:dyDescent="0.3">
      <c r="A534" s="43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</row>
    <row r="535" spans="1:15" x14ac:dyDescent="0.3">
      <c r="A535" s="43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</row>
    <row r="536" spans="1:15" x14ac:dyDescent="0.3">
      <c r="A536" s="43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</row>
    <row r="537" spans="1:15" x14ac:dyDescent="0.3">
      <c r="A537" s="43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</row>
    <row r="538" spans="1:15" x14ac:dyDescent="0.3">
      <c r="A538" s="43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</row>
    <row r="539" spans="1:15" x14ac:dyDescent="0.3">
      <c r="A539" s="43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</row>
    <row r="540" spans="1:15" x14ac:dyDescent="0.3">
      <c r="A540" s="43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</row>
    <row r="541" spans="1:15" x14ac:dyDescent="0.3">
      <c r="A541" s="43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</row>
    <row r="542" spans="1:15" x14ac:dyDescent="0.3">
      <c r="A542" s="43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</row>
    <row r="543" spans="1:15" x14ac:dyDescent="0.3">
      <c r="A543" s="43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</row>
    <row r="544" spans="1:15" x14ac:dyDescent="0.3">
      <c r="A544" s="43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</row>
    <row r="545" spans="1:15" x14ac:dyDescent="0.3">
      <c r="A545" s="43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</row>
    <row r="546" spans="1:15" x14ac:dyDescent="0.3">
      <c r="A546" s="43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</row>
    <row r="547" spans="1:15" x14ac:dyDescent="0.3">
      <c r="A547" s="43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</row>
    <row r="548" spans="1:15" x14ac:dyDescent="0.3">
      <c r="A548" s="43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</row>
    <row r="549" spans="1:15" x14ac:dyDescent="0.3">
      <c r="A549" s="43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</row>
    <row r="550" spans="1:15" x14ac:dyDescent="0.3">
      <c r="A550" s="43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</row>
    <row r="551" spans="1:15" x14ac:dyDescent="0.3">
      <c r="A551" s="43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</row>
    <row r="552" spans="1:15" x14ac:dyDescent="0.3">
      <c r="A552" s="43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</row>
    <row r="553" spans="1:15" x14ac:dyDescent="0.3">
      <c r="A553" s="43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</row>
    <row r="554" spans="1:15" x14ac:dyDescent="0.3">
      <c r="A554" s="43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</row>
    <row r="555" spans="1:15" x14ac:dyDescent="0.3">
      <c r="A555" s="43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</row>
    <row r="556" spans="1:15" x14ac:dyDescent="0.3">
      <c r="A556" s="43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</row>
    <row r="557" spans="1:15" x14ac:dyDescent="0.3">
      <c r="A557" s="43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</row>
    <row r="558" spans="1:15" x14ac:dyDescent="0.3">
      <c r="A558" s="43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</row>
    <row r="559" spans="1:15" x14ac:dyDescent="0.3">
      <c r="A559" s="43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</row>
    <row r="560" spans="1:15" x14ac:dyDescent="0.3">
      <c r="A560" s="43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</row>
    <row r="561" spans="1:15" x14ac:dyDescent="0.3">
      <c r="A561" s="43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</row>
    <row r="562" spans="1:15" x14ac:dyDescent="0.3">
      <c r="A562" s="43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</row>
    <row r="563" spans="1:15" x14ac:dyDescent="0.3">
      <c r="A563" s="43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</row>
    <row r="564" spans="1:15" x14ac:dyDescent="0.3">
      <c r="A564" s="43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</row>
    <row r="565" spans="1:15" x14ac:dyDescent="0.3">
      <c r="A565" s="43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</row>
    <row r="566" spans="1:15" x14ac:dyDescent="0.3">
      <c r="A566" s="43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</row>
    <row r="567" spans="1:15" x14ac:dyDescent="0.3">
      <c r="A567" s="43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</row>
    <row r="568" spans="1:15" x14ac:dyDescent="0.3">
      <c r="A568" s="43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</row>
    <row r="569" spans="1:15" x14ac:dyDescent="0.3">
      <c r="A569" s="43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</row>
    <row r="570" spans="1:15" x14ac:dyDescent="0.3">
      <c r="A570" s="43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</row>
    <row r="571" spans="1:15" x14ac:dyDescent="0.3">
      <c r="A571" s="43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</row>
    <row r="572" spans="1:15" x14ac:dyDescent="0.3">
      <c r="A572" s="43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</row>
    <row r="573" spans="1:15" x14ac:dyDescent="0.3">
      <c r="A573" s="43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</row>
    <row r="574" spans="1:15" x14ac:dyDescent="0.3">
      <c r="A574" s="43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</row>
    <row r="575" spans="1:15" x14ac:dyDescent="0.3">
      <c r="A575" s="43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</row>
    <row r="576" spans="1:15" x14ac:dyDescent="0.3">
      <c r="A576" s="43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</row>
    <row r="577" spans="1:15" x14ac:dyDescent="0.3">
      <c r="A577" s="43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</row>
    <row r="578" spans="1:15" x14ac:dyDescent="0.3">
      <c r="A578" s="43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</row>
    <row r="579" spans="1:15" x14ac:dyDescent="0.3">
      <c r="A579" s="43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</row>
    <row r="580" spans="1:15" x14ac:dyDescent="0.3">
      <c r="A580" s="43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</row>
    <row r="581" spans="1:15" x14ac:dyDescent="0.3">
      <c r="A581" s="43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</row>
    <row r="582" spans="1:15" x14ac:dyDescent="0.3">
      <c r="A582" s="43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</row>
    <row r="583" spans="1:15" x14ac:dyDescent="0.3">
      <c r="A583" s="43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</row>
    <row r="584" spans="1:15" x14ac:dyDescent="0.3">
      <c r="A584" s="43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</row>
    <row r="585" spans="1:15" x14ac:dyDescent="0.3">
      <c r="A585" s="43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</row>
    <row r="586" spans="1:15" x14ac:dyDescent="0.3">
      <c r="A586" s="43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</row>
    <row r="587" spans="1:15" x14ac:dyDescent="0.3">
      <c r="A587" s="43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</row>
    <row r="588" spans="1:15" x14ac:dyDescent="0.3">
      <c r="A588" s="43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</row>
    <row r="589" spans="1:15" x14ac:dyDescent="0.3">
      <c r="A589" s="43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</row>
    <row r="590" spans="1:15" x14ac:dyDescent="0.3">
      <c r="A590" s="43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</row>
    <row r="591" spans="1:15" x14ac:dyDescent="0.3">
      <c r="A591" s="43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</row>
    <row r="592" spans="1:15" x14ac:dyDescent="0.3">
      <c r="A592" s="43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</row>
    <row r="593" spans="1:72" x14ac:dyDescent="0.3">
      <c r="A593" s="43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</row>
    <row r="594" spans="1:72" x14ac:dyDescent="0.3">
      <c r="A594" s="43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</row>
    <row r="595" spans="1:72" x14ac:dyDescent="0.3">
      <c r="A595" s="43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</row>
    <row r="596" spans="1:72" x14ac:dyDescent="0.3">
      <c r="A596" s="43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</row>
    <row r="597" spans="1:72" x14ac:dyDescent="0.3">
      <c r="A597" s="43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</row>
    <row r="598" spans="1:72" x14ac:dyDescent="0.3">
      <c r="A598" s="43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</row>
    <row r="599" spans="1:72" x14ac:dyDescent="0.3">
      <c r="A599" s="43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</row>
    <row r="600" spans="1:72" x14ac:dyDescent="0.3">
      <c r="A600" s="43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</row>
    <row r="601" spans="1:72" ht="15.6" x14ac:dyDescent="0.3">
      <c r="A601" s="43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V601" s="58" t="s">
        <v>27</v>
      </c>
      <c r="W601" s="58" t="s">
        <v>24</v>
      </c>
      <c r="X601" s="58" t="s">
        <v>25</v>
      </c>
      <c r="Y601" s="58" t="s">
        <v>26</v>
      </c>
      <c r="Z601" s="58" t="s">
        <v>28</v>
      </c>
      <c r="AA601" s="58" t="s">
        <v>24</v>
      </c>
      <c r="AB601" s="58" t="s">
        <v>25</v>
      </c>
      <c r="AC601" s="58" t="s">
        <v>26</v>
      </c>
      <c r="AD601" s="58" t="s">
        <v>29</v>
      </c>
      <c r="AE601" s="58" t="s">
        <v>24</v>
      </c>
      <c r="AF601" s="58" t="s">
        <v>25</v>
      </c>
      <c r="AG601" s="58" t="s">
        <v>26</v>
      </c>
      <c r="AH601" s="58" t="s">
        <v>30</v>
      </c>
      <c r="AI601" s="58" t="s">
        <v>24</v>
      </c>
      <c r="AJ601" s="58" t="s">
        <v>25</v>
      </c>
      <c r="AK601" s="58" t="s">
        <v>26</v>
      </c>
      <c r="AL601" s="58" t="s">
        <v>31</v>
      </c>
      <c r="AM601" s="58" t="s">
        <v>24</v>
      </c>
      <c r="AN601" s="58" t="s">
        <v>25</v>
      </c>
      <c r="AO601" s="58" t="s">
        <v>26</v>
      </c>
      <c r="AP601" s="58" t="s">
        <v>32</v>
      </c>
      <c r="AQ601" s="58" t="s">
        <v>24</v>
      </c>
      <c r="AR601" s="58" t="s">
        <v>25</v>
      </c>
      <c r="AS601" s="58" t="s">
        <v>26</v>
      </c>
      <c r="AT601" s="58" t="s">
        <v>33</v>
      </c>
      <c r="AU601" s="58" t="s">
        <v>24</v>
      </c>
      <c r="AV601" s="58" t="s">
        <v>25</v>
      </c>
      <c r="AW601" s="58" t="s">
        <v>26</v>
      </c>
      <c r="AX601" s="58" t="s">
        <v>34</v>
      </c>
      <c r="AY601" s="58" t="s">
        <v>24</v>
      </c>
      <c r="AZ601" s="58" t="s">
        <v>25</v>
      </c>
      <c r="BA601" s="58" t="s">
        <v>26</v>
      </c>
      <c r="BB601" s="58" t="s">
        <v>35</v>
      </c>
      <c r="BC601" s="58" t="s">
        <v>24</v>
      </c>
      <c r="BD601" s="58" t="s">
        <v>25</v>
      </c>
      <c r="BE601" s="58" t="s">
        <v>26</v>
      </c>
      <c r="BF601" s="58" t="s">
        <v>36</v>
      </c>
      <c r="BG601" s="58" t="s">
        <v>24</v>
      </c>
      <c r="BH601" s="58" t="s">
        <v>25</v>
      </c>
      <c r="BI601" s="58" t="s">
        <v>26</v>
      </c>
      <c r="BJ601" s="58" t="s">
        <v>37</v>
      </c>
      <c r="BK601" s="58" t="s">
        <v>24</v>
      </c>
      <c r="BL601" s="58" t="s">
        <v>25</v>
      </c>
      <c r="BM601" s="58" t="s">
        <v>26</v>
      </c>
      <c r="BN601" s="58" t="s">
        <v>38</v>
      </c>
      <c r="BO601" s="58" t="s">
        <v>24</v>
      </c>
      <c r="BP601" s="58" t="s">
        <v>25</v>
      </c>
      <c r="BQ601" s="58" t="s">
        <v>26</v>
      </c>
      <c r="BR601" s="58" t="s">
        <v>39</v>
      </c>
      <c r="BS601" s="58" t="s">
        <v>40</v>
      </c>
      <c r="BT601" s="58" t="s">
        <v>41</v>
      </c>
    </row>
    <row r="602" spans="1:72" x14ac:dyDescent="0.3">
      <c r="V602" s="59"/>
      <c r="W602" s="60">
        <f>COUNTIFS(C2:C601,"LKG",D2:D601,"MALE")</f>
        <v>0</v>
      </c>
      <c r="X602" s="61">
        <f>COUNTIFS(C2:C601,"LKG",D2:D601,"FEMALE")</f>
        <v>0</v>
      </c>
      <c r="Y602" s="37">
        <f>W602+X602</f>
        <v>0</v>
      </c>
      <c r="Z602" s="59"/>
      <c r="AA602" s="60">
        <f>COUNTIFS(C2:C601,"HKG",D2:D601,"MALE")</f>
        <v>1</v>
      </c>
      <c r="AB602" s="61">
        <f>COUNTIFS(C2:C601,"HKG",D2:D601,"FEMALE")</f>
        <v>0</v>
      </c>
      <c r="AC602" s="37">
        <f>AA602+AB602</f>
        <v>1</v>
      </c>
      <c r="AD602" s="59"/>
      <c r="AE602" s="60">
        <f>COUNTIFS(C2:C601,"1st",D2:D601,"MALE")</f>
        <v>0</v>
      </c>
      <c r="AF602" s="61">
        <f>COUNTIFS(C2:C601,"1st",D2:D601,"FEMALE")</f>
        <v>1</v>
      </c>
      <c r="AG602" s="37">
        <f>AE602+AF602</f>
        <v>1</v>
      </c>
      <c r="AH602" s="59"/>
      <c r="AI602" s="60">
        <f>COUNTIFS(C2:C601,"2nd",D2:D601,"MALE")</f>
        <v>1</v>
      </c>
      <c r="AJ602" s="61">
        <f>COUNTIFS(C2:C601,"2nd",D2:D601,"FEMALE")</f>
        <v>0</v>
      </c>
      <c r="AK602" s="37">
        <f>AI602+AJ602</f>
        <v>1</v>
      </c>
      <c r="AL602" s="59"/>
      <c r="AM602" s="60">
        <f>COUNTIFS(C2:C601,"3rd",D2:D601,"MALE")</f>
        <v>0</v>
      </c>
      <c r="AN602" s="61">
        <f>COUNTIFS(C2:C601,"3th",D2:D601,"FEMALE")</f>
        <v>1</v>
      </c>
      <c r="AO602" s="37">
        <f>AM602+AN602</f>
        <v>1</v>
      </c>
      <c r="AP602" s="59"/>
      <c r="AQ602" s="60">
        <f>COUNTIFS(C2:C601,"4th",D2:D601,"MALE")</f>
        <v>1</v>
      </c>
      <c r="AR602" s="61">
        <f>COUNTIFS(C2:C601,"4th",D2:D601,"FEMALE")</f>
        <v>0</v>
      </c>
      <c r="AS602" s="37">
        <f>AQ602+AR602</f>
        <v>1</v>
      </c>
      <c r="AT602" s="59"/>
      <c r="AU602" s="60">
        <f>COUNTIFS(C2:C601,"5th",D2:D601,"MALE")</f>
        <v>0</v>
      </c>
      <c r="AV602" s="61">
        <f>COUNTIFS(C2:C601,"5th",D2:D601,"FEMALE")</f>
        <v>1</v>
      </c>
      <c r="AW602" s="37">
        <f>AU602+AV602</f>
        <v>1</v>
      </c>
      <c r="AX602" s="59"/>
      <c r="AY602" s="60">
        <f>COUNTIFS(C2:C601,"6th",D2:D601,"MALE")</f>
        <v>1</v>
      </c>
      <c r="AZ602" s="61">
        <f>COUNTIFS(C2:C601,"6th",D2:D601,"FEMALE")</f>
        <v>0</v>
      </c>
      <c r="BA602" s="37">
        <f>AY602+AZ602</f>
        <v>1</v>
      </c>
      <c r="BB602" s="59"/>
      <c r="BC602" s="60">
        <f>COUNTIFS(C2:C601,"7th",D2:D601,"MALE")</f>
        <v>1</v>
      </c>
      <c r="BD602" s="61">
        <f>COUNTIFS(C2:C601,"7th",D2:D601,"FEMALE")</f>
        <v>0</v>
      </c>
      <c r="BE602" s="37">
        <f>BC602+BD602</f>
        <v>1</v>
      </c>
      <c r="BF602" s="59"/>
      <c r="BG602" s="60">
        <f>COUNTIFS(C2:C601,"8th",D2:D601,"MALE")</f>
        <v>0</v>
      </c>
      <c r="BH602" s="61">
        <f>COUNTIFS(C2:C601,"8th",D2:D601,"FEMALE")</f>
        <v>1</v>
      </c>
      <c r="BI602" s="37">
        <f>BG602+BH602</f>
        <v>1</v>
      </c>
      <c r="BJ602" s="59"/>
      <c r="BK602" s="60">
        <f>COUNTIFS(C2:C601,"9th",D2:D601,"MALE")</f>
        <v>1</v>
      </c>
      <c r="BL602" s="61">
        <f>COUNTIFS(C2:C601,"9th",D2:D601,"FEMALE")</f>
        <v>0</v>
      </c>
      <c r="BM602" s="37">
        <f>BK602+BL602</f>
        <v>1</v>
      </c>
      <c r="BN602" s="59"/>
      <c r="BO602" s="60">
        <f>COUNTIFS(C2:C601,"10th",D2:D601,"MALE")</f>
        <v>0</v>
      </c>
      <c r="BP602" s="61">
        <f>COUNTIFS(C2:C601,"10th",D2:D601,"FEMALE")</f>
        <v>1</v>
      </c>
      <c r="BQ602" s="37">
        <f>BO602+BP602</f>
        <v>1</v>
      </c>
      <c r="BR602" s="60">
        <f>SUM(W602,AA602,AE602,AI602,AM602,AQ602,AU602,AY602,BC602,BG602,BK602,BO602,)</f>
        <v>6</v>
      </c>
      <c r="BS602" s="61">
        <f>SUM(X602,AB602,AF602,AJ602,AN602,AR602,AV602,AZ602,BD602,BH602,BL602,BP602,)</f>
        <v>5</v>
      </c>
      <c r="BT602" s="37">
        <f>BR602+BS602</f>
        <v>11</v>
      </c>
    </row>
  </sheetData>
  <conditionalFormatting sqref="A2:O250">
    <cfRule type="expression" dxfId="5" priority="1">
      <formula>SC2="NOT IN SCHOOL"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44ED4-5AE8-46AE-B1E0-DBEBF40C176C}">
  <sheetPr codeName="Sheet4"/>
  <dimension ref="A1:W200"/>
  <sheetViews>
    <sheetView workbookViewId="0">
      <selection activeCell="D19" sqref="D19"/>
    </sheetView>
  </sheetViews>
  <sheetFormatPr defaultRowHeight="14.4" x14ac:dyDescent="0.3"/>
  <cols>
    <col min="1" max="1" width="10.33203125" customWidth="1"/>
    <col min="2" max="2" width="23.88671875" customWidth="1"/>
    <col min="3" max="3" width="14.88671875" bestFit="1" customWidth="1"/>
    <col min="4" max="4" width="16" bestFit="1" customWidth="1"/>
    <col min="5" max="5" width="11.33203125" customWidth="1"/>
    <col min="6" max="6" width="15.5546875" customWidth="1"/>
    <col min="7" max="7" width="33.6640625" customWidth="1"/>
    <col min="8" max="8" width="16.6640625" customWidth="1"/>
    <col min="9" max="9" width="16.88671875" bestFit="1" customWidth="1"/>
    <col min="10" max="10" width="31.33203125" customWidth="1"/>
    <col min="11" max="11" width="35.33203125" customWidth="1"/>
    <col min="12" max="12" width="10.44140625" bestFit="1" customWidth="1"/>
    <col min="13" max="13" width="34.88671875" customWidth="1"/>
    <col min="14" max="14" width="12.77734375" bestFit="1" customWidth="1"/>
    <col min="15" max="15" width="19.21875" customWidth="1"/>
    <col min="16" max="16" width="26.77734375" customWidth="1"/>
    <col min="17" max="17" width="20.5546875" customWidth="1"/>
    <col min="18" max="18" width="28.6640625" customWidth="1"/>
    <col min="19" max="19" width="24" customWidth="1"/>
    <col min="20" max="20" width="17.88671875" hidden="1" customWidth="1"/>
    <col min="21" max="21" width="15.44140625" customWidth="1"/>
    <col min="22" max="23" width="15.77734375" customWidth="1"/>
  </cols>
  <sheetData>
    <row r="1" spans="1:23" ht="55.2" customHeight="1" x14ac:dyDescent="0.3">
      <c r="A1" s="33" t="s">
        <v>4</v>
      </c>
      <c r="B1" s="34" t="s">
        <v>6</v>
      </c>
      <c r="C1" s="34" t="s">
        <v>5</v>
      </c>
      <c r="D1" s="34" t="s">
        <v>134</v>
      </c>
      <c r="E1" s="34" t="s">
        <v>8</v>
      </c>
      <c r="F1" s="34" t="s">
        <v>135</v>
      </c>
      <c r="G1" s="34" t="s">
        <v>9</v>
      </c>
      <c r="H1" s="34" t="s">
        <v>11</v>
      </c>
      <c r="I1" s="34" t="s">
        <v>10</v>
      </c>
      <c r="J1" s="34" t="s">
        <v>12</v>
      </c>
      <c r="K1" s="34" t="s">
        <v>13</v>
      </c>
      <c r="L1" s="34" t="s">
        <v>14</v>
      </c>
      <c r="M1" s="34" t="s">
        <v>15</v>
      </c>
      <c r="N1" s="35" t="s">
        <v>16</v>
      </c>
      <c r="O1" s="34" t="s">
        <v>17</v>
      </c>
      <c r="P1" s="34" t="s">
        <v>18</v>
      </c>
      <c r="Q1" s="34" t="s">
        <v>19</v>
      </c>
      <c r="R1" s="34" t="s">
        <v>20</v>
      </c>
      <c r="S1" s="34" t="s">
        <v>21</v>
      </c>
      <c r="T1" s="34" t="s">
        <v>21</v>
      </c>
      <c r="U1" s="34" t="s">
        <v>124</v>
      </c>
      <c r="V1" s="34" t="s">
        <v>125</v>
      </c>
      <c r="W1" s="34" t="s">
        <v>126</v>
      </c>
    </row>
    <row r="2" spans="1:23" x14ac:dyDescent="0.3">
      <c r="A2" s="45">
        <v>1</v>
      </c>
      <c r="B2" s="46" t="s">
        <v>127</v>
      </c>
      <c r="C2" s="46" t="s">
        <v>25</v>
      </c>
      <c r="D2" s="46">
        <v>215475</v>
      </c>
      <c r="E2" s="46">
        <v>26584</v>
      </c>
      <c r="F2" s="48">
        <v>37602</v>
      </c>
      <c r="G2" s="46">
        <v>4575655</v>
      </c>
      <c r="H2" s="47">
        <v>2012</v>
      </c>
      <c r="I2" s="46" t="s">
        <v>90</v>
      </c>
      <c r="J2" s="46" t="s">
        <v>99</v>
      </c>
      <c r="K2" s="46" t="s">
        <v>99</v>
      </c>
      <c r="L2" s="46" t="s">
        <v>109</v>
      </c>
      <c r="M2" s="48">
        <v>125000</v>
      </c>
      <c r="N2" s="49">
        <v>524000</v>
      </c>
      <c r="O2" s="46" t="s">
        <v>128</v>
      </c>
      <c r="P2" s="46" t="s">
        <v>129</v>
      </c>
      <c r="Q2" s="46" t="s">
        <v>130</v>
      </c>
      <c r="R2" s="46">
        <v>46545446</v>
      </c>
      <c r="S2" s="46" t="s">
        <v>131</v>
      </c>
      <c r="T2" s="46">
        <v>2</v>
      </c>
      <c r="U2" s="46"/>
      <c r="V2" s="46"/>
      <c r="W2" s="46"/>
    </row>
    <row r="3" spans="1:23" x14ac:dyDescent="0.3">
      <c r="A3" s="45">
        <v>2</v>
      </c>
      <c r="B3" s="46"/>
      <c r="C3" s="46"/>
      <c r="D3" s="48"/>
      <c r="E3" s="46"/>
      <c r="F3" s="48"/>
      <c r="G3" s="46"/>
      <c r="H3" s="47"/>
      <c r="I3" s="46"/>
      <c r="J3" s="46"/>
      <c r="K3" s="46"/>
      <c r="L3" s="46"/>
      <c r="M3" s="48"/>
      <c r="N3" s="49"/>
      <c r="O3" s="46"/>
      <c r="P3" s="46"/>
      <c r="Q3" s="46"/>
      <c r="R3" s="46"/>
      <c r="S3" s="46"/>
      <c r="T3" s="46"/>
      <c r="U3" s="46"/>
      <c r="V3" s="46"/>
      <c r="W3" s="46"/>
    </row>
    <row r="4" spans="1:23" x14ac:dyDescent="0.3">
      <c r="A4" s="45"/>
      <c r="B4" s="46"/>
      <c r="C4" s="46"/>
      <c r="D4" s="46"/>
      <c r="E4" s="46"/>
      <c r="F4" s="46"/>
      <c r="G4" s="46"/>
      <c r="H4" s="47"/>
      <c r="I4" s="46"/>
      <c r="J4" s="46"/>
      <c r="K4" s="46"/>
      <c r="L4" s="46"/>
      <c r="M4" s="48"/>
      <c r="N4" s="49"/>
      <c r="O4" s="46"/>
      <c r="P4" s="46"/>
      <c r="Q4" s="46"/>
      <c r="R4" s="46"/>
      <c r="S4" s="46"/>
      <c r="T4" s="46"/>
      <c r="U4" s="46"/>
      <c r="V4" s="46"/>
      <c r="W4" s="46"/>
    </row>
    <row r="5" spans="1:23" x14ac:dyDescent="0.3">
      <c r="A5" s="45"/>
      <c r="B5" s="46"/>
      <c r="C5" s="46"/>
      <c r="D5" s="46"/>
      <c r="E5" s="46"/>
      <c r="F5" s="46"/>
      <c r="G5" s="46"/>
      <c r="H5" s="47"/>
      <c r="I5" s="46"/>
      <c r="J5" s="46"/>
      <c r="K5" s="46"/>
      <c r="L5" s="46"/>
      <c r="M5" s="48"/>
      <c r="N5" s="49"/>
      <c r="O5" s="46"/>
      <c r="P5" s="46"/>
      <c r="Q5" s="46"/>
      <c r="R5" s="46"/>
      <c r="S5" s="46"/>
      <c r="T5" s="46"/>
      <c r="U5" s="46"/>
      <c r="V5" s="46"/>
      <c r="W5" s="46"/>
    </row>
    <row r="6" spans="1:23" x14ac:dyDescent="0.3">
      <c r="A6" s="45"/>
      <c r="B6" s="46"/>
      <c r="C6" s="46"/>
      <c r="D6" s="46"/>
      <c r="E6" s="46"/>
      <c r="F6" s="46"/>
      <c r="G6" s="46"/>
      <c r="H6" s="47"/>
      <c r="I6" s="46"/>
      <c r="J6" s="46"/>
      <c r="K6" s="46"/>
      <c r="L6" s="46"/>
      <c r="M6" s="48"/>
      <c r="N6" s="49"/>
      <c r="O6" s="46"/>
      <c r="P6" s="46"/>
      <c r="Q6" s="46"/>
      <c r="R6" s="46"/>
      <c r="S6" s="46"/>
      <c r="T6" s="46"/>
      <c r="U6" s="46"/>
      <c r="V6" s="46"/>
      <c r="W6" s="46"/>
    </row>
    <row r="7" spans="1:23" x14ac:dyDescent="0.3">
      <c r="A7" s="45"/>
      <c r="B7" s="46"/>
      <c r="C7" s="46"/>
      <c r="D7" s="46"/>
      <c r="E7" s="46"/>
      <c r="F7" s="46"/>
      <c r="G7" s="46"/>
      <c r="H7" s="47"/>
      <c r="I7" s="46"/>
      <c r="J7" s="46"/>
      <c r="K7" s="46"/>
      <c r="L7" s="46"/>
      <c r="M7" s="48"/>
      <c r="N7" s="49"/>
      <c r="O7" s="46"/>
      <c r="P7" s="46"/>
      <c r="Q7" s="46"/>
      <c r="R7" s="46"/>
      <c r="S7" s="46"/>
      <c r="T7" s="46"/>
      <c r="U7" s="46"/>
      <c r="V7" s="46"/>
      <c r="W7" s="46"/>
    </row>
    <row r="8" spans="1:23" x14ac:dyDescent="0.3">
      <c r="A8" s="45"/>
      <c r="B8" s="46"/>
      <c r="C8" s="46"/>
      <c r="D8" s="46"/>
      <c r="E8" s="46"/>
      <c r="F8" s="46"/>
      <c r="G8" s="46"/>
      <c r="H8" s="47"/>
      <c r="I8" s="46"/>
      <c r="J8" s="46"/>
      <c r="K8" s="46"/>
      <c r="L8" s="46"/>
      <c r="M8" s="48"/>
      <c r="N8" s="49"/>
      <c r="O8" s="46"/>
      <c r="P8" s="46"/>
      <c r="Q8" s="46"/>
      <c r="R8" s="46"/>
      <c r="S8" s="46"/>
      <c r="T8" s="46"/>
      <c r="U8" s="46"/>
      <c r="V8" s="46"/>
      <c r="W8" s="46"/>
    </row>
    <row r="9" spans="1:23" x14ac:dyDescent="0.3">
      <c r="A9" s="45"/>
      <c r="B9" s="46"/>
      <c r="C9" s="46"/>
      <c r="D9" s="46"/>
      <c r="E9" s="46"/>
      <c r="F9" s="46"/>
      <c r="G9" s="46"/>
      <c r="H9" s="47"/>
      <c r="I9" s="46"/>
      <c r="J9" s="46"/>
      <c r="K9" s="46"/>
      <c r="L9" s="46"/>
      <c r="M9" s="48"/>
      <c r="N9" s="49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3">
      <c r="A10" s="45"/>
      <c r="B10" s="46"/>
      <c r="C10" s="46"/>
      <c r="D10" s="46"/>
      <c r="E10" s="46"/>
      <c r="F10" s="46"/>
      <c r="G10" s="46"/>
      <c r="H10" s="47"/>
      <c r="I10" s="46"/>
      <c r="J10" s="46"/>
      <c r="K10" s="46"/>
      <c r="L10" s="46"/>
      <c r="M10" s="48"/>
      <c r="N10" s="49"/>
      <c r="O10" s="46"/>
      <c r="P10" s="46"/>
      <c r="Q10" s="46"/>
      <c r="R10" s="46"/>
      <c r="S10" s="46"/>
      <c r="T10" s="46"/>
      <c r="U10" s="46"/>
      <c r="V10" s="46"/>
      <c r="W10" s="46"/>
    </row>
    <row r="11" spans="1:23" x14ac:dyDescent="0.3">
      <c r="A11" s="45"/>
      <c r="B11" s="46"/>
      <c r="C11" s="46"/>
      <c r="D11" s="46"/>
      <c r="E11" s="46"/>
      <c r="F11" s="46"/>
      <c r="G11" s="46"/>
      <c r="H11" s="47"/>
      <c r="I11" s="46"/>
      <c r="J11" s="46"/>
      <c r="K11" s="46"/>
      <c r="L11" s="46"/>
      <c r="M11" s="48"/>
      <c r="N11" s="49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3">
      <c r="A12" s="45"/>
      <c r="B12" s="46"/>
      <c r="C12" s="46"/>
      <c r="D12" s="46"/>
      <c r="E12" s="46"/>
      <c r="F12" s="46"/>
      <c r="G12" s="46"/>
      <c r="H12" s="47"/>
      <c r="I12" s="46"/>
      <c r="J12" s="46"/>
      <c r="K12" s="46"/>
      <c r="L12" s="46"/>
      <c r="M12" s="48"/>
      <c r="N12" s="49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3">
      <c r="A13" s="45"/>
      <c r="B13" s="46"/>
      <c r="C13" s="46"/>
      <c r="D13" s="46"/>
      <c r="E13" s="46"/>
      <c r="F13" s="46"/>
      <c r="G13" s="46"/>
      <c r="H13" s="47"/>
      <c r="I13" s="46"/>
      <c r="J13" s="46"/>
      <c r="K13" s="46"/>
      <c r="L13" s="46"/>
      <c r="M13" s="48"/>
      <c r="N13" s="49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3">
      <c r="A14" s="45"/>
      <c r="B14" s="46"/>
      <c r="C14" s="46"/>
      <c r="D14" s="46"/>
      <c r="E14" s="46"/>
      <c r="F14" s="46"/>
      <c r="G14" s="46"/>
      <c r="H14" s="47"/>
      <c r="I14" s="46"/>
      <c r="J14" s="46"/>
      <c r="K14" s="46"/>
      <c r="L14" s="46"/>
      <c r="M14" s="48"/>
      <c r="N14" s="49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3">
      <c r="A15" s="45"/>
      <c r="B15" s="46"/>
      <c r="C15" s="46"/>
      <c r="D15" s="46"/>
      <c r="E15" s="46"/>
      <c r="F15" s="46"/>
      <c r="G15" s="46"/>
      <c r="H15" s="47"/>
      <c r="I15" s="46"/>
      <c r="J15" s="46"/>
      <c r="K15" s="46"/>
      <c r="L15" s="46"/>
      <c r="M15" s="48"/>
      <c r="N15" s="49"/>
      <c r="O15" s="46"/>
      <c r="P15" s="46"/>
      <c r="Q15" s="46"/>
      <c r="R15" s="46"/>
      <c r="S15" s="46"/>
      <c r="T15" s="46"/>
      <c r="U15" s="46"/>
      <c r="V15" s="46"/>
      <c r="W15" s="46"/>
    </row>
    <row r="16" spans="1:23" x14ac:dyDescent="0.3">
      <c r="A16" s="45"/>
      <c r="B16" s="46"/>
      <c r="C16" s="46"/>
      <c r="D16" s="46"/>
      <c r="E16" s="46"/>
      <c r="F16" s="46"/>
      <c r="G16" s="46"/>
      <c r="H16" s="47"/>
      <c r="I16" s="46"/>
      <c r="J16" s="46"/>
      <c r="K16" s="46"/>
      <c r="L16" s="46"/>
      <c r="M16" s="48"/>
      <c r="N16" s="49"/>
      <c r="O16" s="46"/>
      <c r="P16" s="46"/>
      <c r="Q16" s="46"/>
      <c r="R16" s="46"/>
      <c r="S16" s="46"/>
      <c r="T16" s="46"/>
      <c r="U16" s="46"/>
      <c r="V16" s="46"/>
      <c r="W16" s="46"/>
    </row>
    <row r="17" spans="1:23" x14ac:dyDescent="0.3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46"/>
      <c r="P17" s="46"/>
      <c r="Q17" s="46"/>
      <c r="R17" s="46"/>
      <c r="S17" s="46"/>
      <c r="T17" s="46"/>
      <c r="U17" s="46"/>
      <c r="V17" s="46"/>
      <c r="W17" s="46"/>
    </row>
    <row r="18" spans="1:23" x14ac:dyDescent="0.3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3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3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46"/>
      <c r="P20" s="46"/>
      <c r="Q20" s="46"/>
      <c r="R20" s="46"/>
      <c r="S20" s="46"/>
      <c r="T20" s="46"/>
      <c r="U20" s="46"/>
      <c r="V20" s="46"/>
      <c r="W20" s="46"/>
    </row>
    <row r="21" spans="1:23" x14ac:dyDescent="0.3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46"/>
      <c r="P21" s="46"/>
      <c r="Q21" s="46"/>
      <c r="R21" s="46"/>
      <c r="S21" s="46"/>
      <c r="T21" s="46"/>
      <c r="U21" s="46"/>
      <c r="V21" s="46"/>
      <c r="W21" s="46"/>
    </row>
    <row r="22" spans="1:23" x14ac:dyDescent="0.3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46"/>
      <c r="P22" s="46"/>
      <c r="Q22" s="46"/>
      <c r="R22" s="46"/>
      <c r="S22" s="46"/>
      <c r="T22" s="46"/>
      <c r="U22" s="46"/>
      <c r="V22" s="46"/>
      <c r="W22" s="46"/>
    </row>
    <row r="23" spans="1:23" x14ac:dyDescent="0.3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46"/>
      <c r="P23" s="46"/>
      <c r="Q23" s="46"/>
      <c r="R23" s="46"/>
      <c r="S23" s="46"/>
      <c r="T23" s="46"/>
      <c r="U23" s="46"/>
      <c r="V23" s="46"/>
      <c r="W23" s="46"/>
    </row>
    <row r="24" spans="1:23" x14ac:dyDescent="0.3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46"/>
      <c r="P24" s="46"/>
      <c r="Q24" s="46"/>
      <c r="R24" s="46"/>
      <c r="S24" s="46"/>
      <c r="T24" s="46"/>
      <c r="U24" s="46"/>
      <c r="V24" s="46"/>
      <c r="W24" s="46"/>
    </row>
    <row r="25" spans="1:23" x14ac:dyDescent="0.3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46"/>
      <c r="P25" s="46"/>
      <c r="Q25" s="46"/>
      <c r="R25" s="46"/>
      <c r="S25" s="46"/>
      <c r="T25" s="46"/>
      <c r="U25" s="46"/>
      <c r="V25" s="46"/>
      <c r="W25" s="46"/>
    </row>
    <row r="26" spans="1:23" x14ac:dyDescent="0.3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46"/>
      <c r="P26" s="46"/>
      <c r="Q26" s="46"/>
      <c r="R26" s="46"/>
      <c r="S26" s="46"/>
      <c r="T26" s="46"/>
      <c r="U26" s="46"/>
      <c r="V26" s="46"/>
      <c r="W26" s="46"/>
    </row>
    <row r="27" spans="1:23" x14ac:dyDescent="0.3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46"/>
      <c r="P27" s="46"/>
      <c r="Q27" s="46"/>
      <c r="R27" s="46"/>
      <c r="S27" s="46"/>
      <c r="T27" s="46"/>
      <c r="U27" s="46"/>
      <c r="V27" s="46"/>
      <c r="W27" s="46"/>
    </row>
    <row r="28" spans="1:23" x14ac:dyDescent="0.3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46"/>
      <c r="P28" s="46"/>
      <c r="Q28" s="46"/>
      <c r="R28" s="46"/>
      <c r="S28" s="46"/>
      <c r="T28" s="46"/>
      <c r="U28" s="46"/>
      <c r="V28" s="46"/>
      <c r="W28" s="46"/>
    </row>
    <row r="29" spans="1:23" x14ac:dyDescent="0.3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46"/>
      <c r="P29" s="46"/>
      <c r="Q29" s="46"/>
      <c r="R29" s="46"/>
      <c r="S29" s="46"/>
      <c r="T29" s="46"/>
      <c r="U29" s="46"/>
      <c r="V29" s="46"/>
      <c r="W29" s="46"/>
    </row>
    <row r="30" spans="1:23" x14ac:dyDescent="0.3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46"/>
      <c r="P30" s="46"/>
      <c r="Q30" s="46"/>
      <c r="R30" s="46"/>
      <c r="S30" s="46"/>
      <c r="T30" s="46"/>
      <c r="U30" s="46"/>
      <c r="V30" s="46"/>
      <c r="W30" s="46"/>
    </row>
    <row r="31" spans="1:23" x14ac:dyDescent="0.3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46"/>
      <c r="P31" s="46"/>
      <c r="Q31" s="46"/>
      <c r="R31" s="46"/>
      <c r="S31" s="46"/>
      <c r="T31" s="46"/>
      <c r="U31" s="46"/>
      <c r="V31" s="46"/>
      <c r="W31" s="46"/>
    </row>
    <row r="32" spans="1:23" x14ac:dyDescent="0.3">
      <c r="A32" s="50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46"/>
      <c r="P32" s="46"/>
      <c r="Q32" s="46"/>
      <c r="R32" s="46"/>
      <c r="S32" s="46"/>
      <c r="T32" s="46"/>
      <c r="U32" s="46"/>
      <c r="V32" s="46"/>
      <c r="W32" s="46"/>
    </row>
    <row r="33" spans="1:23" x14ac:dyDescent="0.3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46"/>
      <c r="P33" s="46"/>
      <c r="Q33" s="46"/>
      <c r="R33" s="46"/>
      <c r="S33" s="46"/>
      <c r="T33" s="46"/>
      <c r="U33" s="46"/>
      <c r="V33" s="46"/>
      <c r="W33" s="46"/>
    </row>
    <row r="34" spans="1:23" x14ac:dyDescent="0.3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46"/>
      <c r="P34" s="46"/>
      <c r="Q34" s="46"/>
      <c r="R34" s="46"/>
      <c r="S34" s="46"/>
      <c r="T34" s="46"/>
      <c r="U34" s="46"/>
      <c r="V34" s="46"/>
      <c r="W34" s="46"/>
    </row>
    <row r="35" spans="1:23" x14ac:dyDescent="0.3">
      <c r="A35" s="50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46"/>
      <c r="P35" s="46"/>
      <c r="Q35" s="46"/>
      <c r="R35" s="46"/>
      <c r="S35" s="46"/>
      <c r="T35" s="46"/>
      <c r="U35" s="46"/>
      <c r="V35" s="46"/>
      <c r="W35" s="46"/>
    </row>
    <row r="36" spans="1:23" x14ac:dyDescent="0.3">
      <c r="A36" s="50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46"/>
      <c r="P36" s="46"/>
      <c r="Q36" s="46"/>
      <c r="R36" s="46"/>
      <c r="S36" s="46"/>
      <c r="T36" s="46"/>
      <c r="U36" s="46"/>
      <c r="V36" s="46"/>
      <c r="W36" s="46"/>
    </row>
    <row r="37" spans="1:23" x14ac:dyDescent="0.3">
      <c r="A37" s="50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46"/>
      <c r="P37" s="46"/>
      <c r="Q37" s="46"/>
      <c r="R37" s="46"/>
      <c r="S37" s="46"/>
      <c r="T37" s="46"/>
      <c r="U37" s="46"/>
      <c r="V37" s="46"/>
      <c r="W37" s="46"/>
    </row>
    <row r="38" spans="1:23" x14ac:dyDescent="0.3">
      <c r="A38" s="50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46"/>
      <c r="P38" s="46"/>
      <c r="Q38" s="46"/>
      <c r="R38" s="46"/>
      <c r="S38" s="46"/>
      <c r="T38" s="46"/>
      <c r="U38" s="46"/>
      <c r="V38" s="46"/>
      <c r="W38" s="46"/>
    </row>
    <row r="39" spans="1:23" x14ac:dyDescent="0.3">
      <c r="A39" s="50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46"/>
      <c r="P39" s="46"/>
      <c r="Q39" s="46"/>
      <c r="R39" s="46"/>
      <c r="S39" s="46"/>
      <c r="T39" s="46"/>
      <c r="U39" s="46"/>
      <c r="V39" s="46"/>
      <c r="W39" s="46"/>
    </row>
    <row r="40" spans="1:23" x14ac:dyDescent="0.3">
      <c r="A40" s="50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46"/>
      <c r="P40" s="46"/>
      <c r="Q40" s="46"/>
      <c r="R40" s="46"/>
      <c r="S40" s="46"/>
      <c r="T40" s="46"/>
      <c r="U40" s="46"/>
      <c r="V40" s="46"/>
      <c r="W40" s="46"/>
    </row>
    <row r="41" spans="1:23" x14ac:dyDescent="0.3">
      <c r="A41" s="50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46"/>
      <c r="P41" s="46"/>
      <c r="Q41" s="46"/>
      <c r="R41" s="46"/>
      <c r="S41" s="46"/>
      <c r="T41" s="46"/>
      <c r="U41" s="46"/>
      <c r="V41" s="46"/>
      <c r="W41" s="46"/>
    </row>
    <row r="42" spans="1:23" x14ac:dyDescent="0.3">
      <c r="A42" s="50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46"/>
      <c r="P42" s="46"/>
      <c r="Q42" s="46"/>
      <c r="R42" s="46"/>
      <c r="S42" s="46"/>
      <c r="T42" s="46"/>
      <c r="U42" s="46"/>
      <c r="V42" s="46"/>
      <c r="W42" s="46"/>
    </row>
    <row r="43" spans="1:23" x14ac:dyDescent="0.3">
      <c r="A43" s="50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46"/>
      <c r="P43" s="46"/>
      <c r="Q43" s="46"/>
      <c r="R43" s="46"/>
      <c r="S43" s="46"/>
      <c r="T43" s="46"/>
      <c r="U43" s="46"/>
      <c r="V43" s="46"/>
      <c r="W43" s="46"/>
    </row>
    <row r="44" spans="1:23" x14ac:dyDescent="0.3">
      <c r="A44" s="50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46"/>
      <c r="P44" s="46"/>
      <c r="Q44" s="46"/>
      <c r="R44" s="46"/>
      <c r="S44" s="46"/>
      <c r="T44" s="46"/>
      <c r="U44" s="46"/>
      <c r="V44" s="46"/>
      <c r="W44" s="46"/>
    </row>
    <row r="45" spans="1:23" x14ac:dyDescent="0.3">
      <c r="A45" s="50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46"/>
      <c r="P45" s="46"/>
      <c r="Q45" s="46"/>
      <c r="R45" s="46"/>
      <c r="S45" s="46"/>
      <c r="T45" s="46"/>
      <c r="U45" s="46"/>
      <c r="V45" s="46"/>
      <c r="W45" s="46"/>
    </row>
    <row r="46" spans="1:23" x14ac:dyDescent="0.3">
      <c r="A46" s="50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46"/>
      <c r="P46" s="46"/>
      <c r="Q46" s="46"/>
      <c r="R46" s="46"/>
      <c r="S46" s="46"/>
      <c r="T46" s="46"/>
      <c r="U46" s="46"/>
      <c r="V46" s="46"/>
      <c r="W46" s="46"/>
    </row>
    <row r="47" spans="1:23" x14ac:dyDescent="0.3">
      <c r="A47" s="50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46"/>
      <c r="P47" s="46"/>
      <c r="Q47" s="46"/>
      <c r="R47" s="46"/>
      <c r="S47" s="46"/>
      <c r="T47" s="46"/>
      <c r="U47" s="46"/>
      <c r="V47" s="46"/>
      <c r="W47" s="46"/>
    </row>
    <row r="48" spans="1:23" x14ac:dyDescent="0.3">
      <c r="A48" s="50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46"/>
      <c r="P48" s="46"/>
      <c r="Q48" s="46"/>
      <c r="R48" s="46"/>
      <c r="S48" s="46"/>
      <c r="T48" s="46"/>
      <c r="U48" s="46"/>
      <c r="V48" s="46"/>
      <c r="W48" s="46"/>
    </row>
    <row r="49" spans="1:23" x14ac:dyDescent="0.3">
      <c r="A49" s="50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46"/>
      <c r="P49" s="46"/>
      <c r="Q49" s="46"/>
      <c r="R49" s="46"/>
      <c r="S49" s="46"/>
      <c r="T49" s="46"/>
      <c r="U49" s="46"/>
      <c r="V49" s="46"/>
      <c r="W49" s="46"/>
    </row>
    <row r="50" spans="1:23" x14ac:dyDescent="0.3">
      <c r="A50" s="50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46"/>
      <c r="P50" s="46"/>
      <c r="Q50" s="46"/>
      <c r="R50" s="46"/>
      <c r="S50" s="46"/>
      <c r="T50" s="46"/>
      <c r="U50" s="46"/>
      <c r="V50" s="46"/>
      <c r="W50" s="46"/>
    </row>
    <row r="51" spans="1:23" x14ac:dyDescent="0.3">
      <c r="A51" s="50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46"/>
      <c r="P51" s="46"/>
      <c r="Q51" s="46"/>
      <c r="R51" s="46"/>
      <c r="S51" s="46"/>
      <c r="T51" s="46"/>
      <c r="U51" s="46"/>
      <c r="V51" s="46"/>
      <c r="W51" s="46"/>
    </row>
    <row r="52" spans="1:23" x14ac:dyDescent="0.3">
      <c r="A52" s="50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46"/>
      <c r="P52" s="46"/>
      <c r="Q52" s="46"/>
      <c r="R52" s="46"/>
      <c r="S52" s="46"/>
      <c r="T52" s="46"/>
      <c r="U52" s="46"/>
      <c r="V52" s="46"/>
      <c r="W52" s="46"/>
    </row>
    <row r="53" spans="1:23" x14ac:dyDescent="0.3">
      <c r="A53" s="50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46"/>
      <c r="P53" s="46"/>
      <c r="Q53" s="46"/>
      <c r="R53" s="46"/>
      <c r="S53" s="46"/>
      <c r="T53" s="46"/>
      <c r="U53" s="46"/>
      <c r="V53" s="46"/>
      <c r="W53" s="46"/>
    </row>
    <row r="54" spans="1:23" x14ac:dyDescent="0.3">
      <c r="A54" s="50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46"/>
      <c r="P54" s="46"/>
      <c r="Q54" s="46"/>
      <c r="R54" s="46"/>
      <c r="S54" s="46"/>
      <c r="T54" s="46"/>
      <c r="U54" s="46"/>
      <c r="V54" s="46"/>
      <c r="W54" s="46"/>
    </row>
    <row r="55" spans="1:23" x14ac:dyDescent="0.3">
      <c r="A55" s="50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46"/>
      <c r="P55" s="46"/>
      <c r="Q55" s="46"/>
      <c r="R55" s="46"/>
      <c r="S55" s="46"/>
      <c r="T55" s="46"/>
      <c r="U55" s="46"/>
      <c r="V55" s="46"/>
      <c r="W55" s="46"/>
    </row>
    <row r="56" spans="1:23" x14ac:dyDescent="0.3">
      <c r="A56" s="50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46"/>
      <c r="P56" s="46"/>
      <c r="Q56" s="46"/>
      <c r="R56" s="46"/>
      <c r="S56" s="46"/>
      <c r="T56" s="46"/>
      <c r="U56" s="46"/>
      <c r="V56" s="46"/>
      <c r="W56" s="46"/>
    </row>
    <row r="57" spans="1:23" x14ac:dyDescent="0.3">
      <c r="A57" s="50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46"/>
      <c r="P57" s="46"/>
      <c r="Q57" s="46"/>
      <c r="R57" s="46"/>
      <c r="S57" s="46"/>
      <c r="T57" s="46"/>
      <c r="U57" s="46"/>
      <c r="V57" s="46"/>
      <c r="W57" s="46"/>
    </row>
    <row r="58" spans="1:23" x14ac:dyDescent="0.3">
      <c r="A58" s="50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46"/>
      <c r="P58" s="46"/>
      <c r="Q58" s="46"/>
      <c r="R58" s="46"/>
      <c r="S58" s="46"/>
      <c r="T58" s="46"/>
      <c r="U58" s="46"/>
      <c r="V58" s="46"/>
      <c r="W58" s="46"/>
    </row>
    <row r="59" spans="1:23" x14ac:dyDescent="0.3">
      <c r="A59" s="50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46"/>
      <c r="P59" s="46"/>
      <c r="Q59" s="46"/>
      <c r="R59" s="46"/>
      <c r="S59" s="46"/>
      <c r="T59" s="46"/>
      <c r="U59" s="46"/>
      <c r="V59" s="46"/>
      <c r="W59" s="46"/>
    </row>
    <row r="60" spans="1:23" x14ac:dyDescent="0.3">
      <c r="A60" s="50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46"/>
      <c r="P60" s="46"/>
      <c r="Q60" s="46"/>
      <c r="R60" s="46"/>
      <c r="S60" s="46"/>
      <c r="T60" s="46"/>
      <c r="U60" s="46"/>
      <c r="V60" s="46"/>
      <c r="W60" s="46"/>
    </row>
    <row r="61" spans="1:23" x14ac:dyDescent="0.3">
      <c r="A61" s="50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46"/>
      <c r="P61" s="46"/>
      <c r="Q61" s="46"/>
      <c r="R61" s="46"/>
      <c r="S61" s="46"/>
      <c r="T61" s="46"/>
      <c r="U61" s="46"/>
      <c r="V61" s="46"/>
      <c r="W61" s="46"/>
    </row>
    <row r="62" spans="1:23" x14ac:dyDescent="0.3">
      <c r="A62" s="50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46"/>
      <c r="P62" s="46"/>
      <c r="Q62" s="46"/>
      <c r="R62" s="46"/>
      <c r="S62" s="46"/>
      <c r="T62" s="46"/>
      <c r="U62" s="46"/>
      <c r="V62" s="46"/>
      <c r="W62" s="46"/>
    </row>
    <row r="63" spans="1:23" x14ac:dyDescent="0.3">
      <c r="A63" s="50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46"/>
      <c r="P63" s="46"/>
      <c r="Q63" s="46"/>
      <c r="R63" s="46"/>
      <c r="S63" s="46"/>
      <c r="T63" s="46"/>
      <c r="U63" s="46"/>
      <c r="V63" s="46"/>
      <c r="W63" s="46"/>
    </row>
    <row r="64" spans="1:23" x14ac:dyDescent="0.3">
      <c r="A64" s="50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46"/>
      <c r="P64" s="46"/>
      <c r="Q64" s="46"/>
      <c r="R64" s="46"/>
      <c r="S64" s="46"/>
      <c r="T64" s="46"/>
      <c r="U64" s="46"/>
      <c r="V64" s="46"/>
      <c r="W64" s="46"/>
    </row>
    <row r="65" spans="1:23" x14ac:dyDescent="0.3">
      <c r="A65" s="50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46"/>
      <c r="P65" s="46"/>
      <c r="Q65" s="46"/>
      <c r="R65" s="46"/>
      <c r="S65" s="46"/>
      <c r="T65" s="46"/>
      <c r="U65" s="46"/>
      <c r="V65" s="46"/>
      <c r="W65" s="46"/>
    </row>
    <row r="66" spans="1:23" x14ac:dyDescent="0.3">
      <c r="A66" s="50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46"/>
      <c r="P66" s="46"/>
      <c r="Q66" s="46"/>
      <c r="R66" s="46"/>
      <c r="S66" s="46"/>
      <c r="T66" s="46"/>
      <c r="U66" s="46"/>
      <c r="V66" s="46"/>
      <c r="W66" s="46"/>
    </row>
    <row r="67" spans="1:23" x14ac:dyDescent="0.3">
      <c r="A67" s="50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46"/>
      <c r="P67" s="46"/>
      <c r="Q67" s="46"/>
      <c r="R67" s="46"/>
      <c r="S67" s="46"/>
      <c r="T67" s="46"/>
      <c r="U67" s="46"/>
      <c r="V67" s="46"/>
      <c r="W67" s="46"/>
    </row>
    <row r="68" spans="1:23" x14ac:dyDescent="0.3">
      <c r="A68" s="50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46"/>
      <c r="P68" s="46"/>
      <c r="Q68" s="46"/>
      <c r="R68" s="46"/>
      <c r="S68" s="46"/>
      <c r="T68" s="46"/>
      <c r="U68" s="46"/>
      <c r="V68" s="46"/>
      <c r="W68" s="46"/>
    </row>
    <row r="69" spans="1:23" x14ac:dyDescent="0.3">
      <c r="A69" s="50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46"/>
      <c r="P69" s="46"/>
      <c r="Q69" s="46"/>
      <c r="R69" s="46"/>
      <c r="S69" s="46"/>
      <c r="T69" s="46"/>
      <c r="U69" s="46"/>
      <c r="V69" s="46"/>
      <c r="W69" s="46"/>
    </row>
    <row r="70" spans="1:23" x14ac:dyDescent="0.3">
      <c r="A70" s="50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46"/>
      <c r="P70" s="46"/>
      <c r="Q70" s="46"/>
      <c r="R70" s="46"/>
      <c r="S70" s="46"/>
      <c r="T70" s="46"/>
      <c r="U70" s="46"/>
      <c r="V70" s="46"/>
      <c r="W70" s="46"/>
    </row>
    <row r="71" spans="1:23" x14ac:dyDescent="0.3">
      <c r="A71" s="50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46"/>
      <c r="P71" s="46"/>
      <c r="Q71" s="46"/>
      <c r="R71" s="46"/>
      <c r="S71" s="46"/>
      <c r="T71" s="46"/>
      <c r="U71" s="46"/>
      <c r="V71" s="46"/>
      <c r="W71" s="46"/>
    </row>
    <row r="72" spans="1:23" x14ac:dyDescent="0.3">
      <c r="A72" s="50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46"/>
      <c r="P72" s="46"/>
      <c r="Q72" s="46"/>
      <c r="R72" s="46"/>
      <c r="S72" s="46"/>
      <c r="T72" s="46"/>
      <c r="U72" s="46"/>
      <c r="V72" s="46"/>
      <c r="W72" s="46"/>
    </row>
    <row r="73" spans="1:23" x14ac:dyDescent="0.3">
      <c r="A73" s="50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46"/>
      <c r="P73" s="46"/>
      <c r="Q73" s="46"/>
      <c r="R73" s="46"/>
      <c r="S73" s="46"/>
      <c r="T73" s="46"/>
      <c r="U73" s="46"/>
      <c r="V73" s="46"/>
      <c r="W73" s="46"/>
    </row>
    <row r="74" spans="1:23" x14ac:dyDescent="0.3">
      <c r="A74" s="50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46"/>
      <c r="P74" s="46"/>
      <c r="Q74" s="46"/>
      <c r="R74" s="46"/>
      <c r="S74" s="46"/>
      <c r="T74" s="46"/>
      <c r="U74" s="46"/>
      <c r="V74" s="46"/>
      <c r="W74" s="46"/>
    </row>
    <row r="75" spans="1:23" x14ac:dyDescent="0.3">
      <c r="A75" s="50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46"/>
      <c r="P75" s="46"/>
      <c r="Q75" s="46"/>
      <c r="R75" s="46"/>
      <c r="S75" s="46"/>
      <c r="T75" s="46"/>
      <c r="U75" s="46"/>
      <c r="V75" s="46"/>
      <c r="W75" s="46"/>
    </row>
    <row r="76" spans="1:23" x14ac:dyDescent="0.3">
      <c r="A76" s="50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46"/>
      <c r="P76" s="46"/>
      <c r="Q76" s="46"/>
      <c r="R76" s="46"/>
      <c r="S76" s="46"/>
      <c r="T76" s="46"/>
      <c r="U76" s="46"/>
      <c r="V76" s="46"/>
      <c r="W76" s="46"/>
    </row>
    <row r="77" spans="1:23" x14ac:dyDescent="0.3">
      <c r="A77" s="50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46"/>
      <c r="P77" s="46"/>
      <c r="Q77" s="46"/>
      <c r="R77" s="46"/>
      <c r="S77" s="46"/>
      <c r="T77" s="46"/>
      <c r="U77" s="46"/>
      <c r="V77" s="46"/>
      <c r="W77" s="46"/>
    </row>
    <row r="78" spans="1:23" x14ac:dyDescent="0.3">
      <c r="A78" s="50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46"/>
      <c r="P78" s="46"/>
      <c r="Q78" s="46"/>
      <c r="R78" s="46"/>
      <c r="S78" s="46"/>
      <c r="T78" s="46"/>
      <c r="U78" s="46"/>
      <c r="V78" s="46"/>
      <c r="W78" s="46"/>
    </row>
    <row r="79" spans="1:23" x14ac:dyDescent="0.3">
      <c r="A79" s="50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46"/>
      <c r="P79" s="46"/>
      <c r="Q79" s="46"/>
      <c r="R79" s="46"/>
      <c r="S79" s="46"/>
      <c r="T79" s="46"/>
      <c r="U79" s="46"/>
      <c r="V79" s="46"/>
      <c r="W79" s="46"/>
    </row>
    <row r="80" spans="1:23" x14ac:dyDescent="0.3">
      <c r="A80" s="50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46"/>
      <c r="P80" s="46"/>
      <c r="Q80" s="46"/>
      <c r="R80" s="46"/>
      <c r="S80" s="46"/>
      <c r="T80" s="46"/>
      <c r="U80" s="46"/>
      <c r="V80" s="46"/>
      <c r="W80" s="46"/>
    </row>
    <row r="81" spans="1:23" x14ac:dyDescent="0.3">
      <c r="A81" s="50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46"/>
      <c r="P81" s="46"/>
      <c r="Q81" s="46"/>
      <c r="R81" s="46"/>
      <c r="S81" s="46"/>
      <c r="T81" s="46"/>
      <c r="U81" s="46"/>
      <c r="V81" s="46"/>
      <c r="W81" s="46"/>
    </row>
    <row r="82" spans="1:23" x14ac:dyDescent="0.3">
      <c r="A82" s="50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46"/>
      <c r="P82" s="46"/>
      <c r="Q82" s="46"/>
      <c r="R82" s="46"/>
      <c r="S82" s="46"/>
      <c r="T82" s="46"/>
      <c r="U82" s="46"/>
      <c r="V82" s="46"/>
      <c r="W82" s="46"/>
    </row>
    <row r="83" spans="1:23" x14ac:dyDescent="0.3">
      <c r="A83" s="50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46"/>
      <c r="P83" s="46"/>
      <c r="Q83" s="46"/>
      <c r="R83" s="46"/>
      <c r="S83" s="46"/>
      <c r="T83" s="46"/>
      <c r="U83" s="46"/>
      <c r="V83" s="46"/>
      <c r="W83" s="46"/>
    </row>
    <row r="84" spans="1:23" x14ac:dyDescent="0.3">
      <c r="A84" s="50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46"/>
      <c r="P84" s="46"/>
      <c r="Q84" s="46"/>
      <c r="R84" s="46"/>
      <c r="S84" s="46"/>
      <c r="T84" s="46"/>
      <c r="U84" s="46"/>
      <c r="V84" s="46"/>
      <c r="W84" s="46"/>
    </row>
    <row r="85" spans="1:23" x14ac:dyDescent="0.3">
      <c r="A85" s="50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46"/>
      <c r="P85" s="46"/>
      <c r="Q85" s="46"/>
      <c r="R85" s="46"/>
      <c r="S85" s="46"/>
      <c r="T85" s="46"/>
      <c r="U85" s="46"/>
      <c r="V85" s="46"/>
      <c r="W85" s="46"/>
    </row>
    <row r="86" spans="1:23" x14ac:dyDescent="0.3">
      <c r="A86" s="50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46"/>
      <c r="P86" s="46"/>
      <c r="Q86" s="46"/>
      <c r="R86" s="46"/>
      <c r="S86" s="46"/>
      <c r="T86" s="46"/>
      <c r="U86" s="46"/>
      <c r="V86" s="46"/>
      <c r="W86" s="46"/>
    </row>
    <row r="87" spans="1:23" x14ac:dyDescent="0.3">
      <c r="A87" s="50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46"/>
      <c r="P87" s="46"/>
      <c r="Q87" s="46"/>
      <c r="R87" s="46"/>
      <c r="S87" s="46"/>
      <c r="T87" s="46"/>
      <c r="U87" s="46"/>
      <c r="V87" s="46"/>
      <c r="W87" s="46"/>
    </row>
    <row r="88" spans="1:23" x14ac:dyDescent="0.3">
      <c r="A88" s="50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46"/>
      <c r="P88" s="46"/>
      <c r="Q88" s="46"/>
      <c r="R88" s="46"/>
      <c r="S88" s="46"/>
      <c r="T88" s="46"/>
      <c r="U88" s="46"/>
      <c r="V88" s="46"/>
      <c r="W88" s="46"/>
    </row>
    <row r="89" spans="1:23" x14ac:dyDescent="0.3">
      <c r="A89" s="50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46"/>
      <c r="P89" s="46"/>
      <c r="Q89" s="46"/>
      <c r="R89" s="46"/>
      <c r="S89" s="46"/>
      <c r="T89" s="46"/>
      <c r="U89" s="46"/>
      <c r="V89" s="46"/>
      <c r="W89" s="46"/>
    </row>
    <row r="90" spans="1:23" x14ac:dyDescent="0.3">
      <c r="A90" s="50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46"/>
      <c r="P90" s="46"/>
      <c r="Q90" s="46"/>
      <c r="R90" s="46"/>
      <c r="S90" s="46"/>
      <c r="T90" s="46"/>
      <c r="U90" s="46"/>
      <c r="V90" s="46"/>
      <c r="W90" s="46"/>
    </row>
    <row r="91" spans="1:23" x14ac:dyDescent="0.3">
      <c r="A91" s="50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46"/>
      <c r="P91" s="46"/>
      <c r="Q91" s="46"/>
      <c r="R91" s="46"/>
      <c r="S91" s="46"/>
      <c r="T91" s="46"/>
      <c r="U91" s="46"/>
      <c r="V91" s="46"/>
      <c r="W91" s="46"/>
    </row>
    <row r="92" spans="1:23" x14ac:dyDescent="0.3">
      <c r="A92" s="50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46"/>
      <c r="P92" s="46"/>
      <c r="Q92" s="46"/>
      <c r="R92" s="46"/>
      <c r="S92" s="46"/>
      <c r="T92" s="46"/>
      <c r="U92" s="46"/>
      <c r="V92" s="46"/>
      <c r="W92" s="46"/>
    </row>
    <row r="93" spans="1:23" x14ac:dyDescent="0.3">
      <c r="A93" s="50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46"/>
      <c r="P93" s="46"/>
      <c r="Q93" s="46"/>
      <c r="R93" s="46"/>
      <c r="S93" s="46"/>
      <c r="T93" s="46"/>
      <c r="U93" s="46"/>
      <c r="V93" s="46"/>
      <c r="W93" s="46"/>
    </row>
    <row r="94" spans="1:23" x14ac:dyDescent="0.3">
      <c r="A94" s="50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46"/>
      <c r="P94" s="46"/>
      <c r="Q94" s="46"/>
      <c r="R94" s="46"/>
      <c r="S94" s="46"/>
      <c r="T94" s="46"/>
      <c r="U94" s="46"/>
      <c r="V94" s="46"/>
      <c r="W94" s="46"/>
    </row>
    <row r="95" spans="1:23" x14ac:dyDescent="0.3">
      <c r="A95" s="50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46"/>
      <c r="P95" s="46"/>
      <c r="Q95" s="46"/>
      <c r="R95" s="46"/>
      <c r="S95" s="46"/>
      <c r="T95" s="46"/>
      <c r="U95" s="46"/>
      <c r="V95" s="46"/>
      <c r="W95" s="46"/>
    </row>
    <row r="96" spans="1:23" x14ac:dyDescent="0.3">
      <c r="A96" s="50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46"/>
      <c r="P96" s="46"/>
      <c r="Q96" s="46"/>
      <c r="R96" s="46"/>
      <c r="S96" s="46"/>
      <c r="T96" s="46"/>
      <c r="U96" s="46"/>
      <c r="V96" s="46"/>
      <c r="W96" s="46"/>
    </row>
    <row r="97" spans="1:23" x14ac:dyDescent="0.3">
      <c r="A97" s="50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46"/>
      <c r="P97" s="46"/>
      <c r="Q97" s="46"/>
      <c r="R97" s="46"/>
      <c r="S97" s="46"/>
      <c r="T97" s="46"/>
      <c r="U97" s="46"/>
      <c r="V97" s="46"/>
      <c r="W97" s="46"/>
    </row>
    <row r="98" spans="1:23" x14ac:dyDescent="0.3">
      <c r="A98" s="50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46"/>
      <c r="P98" s="46"/>
      <c r="Q98" s="46"/>
      <c r="R98" s="46"/>
      <c r="S98" s="46"/>
      <c r="T98" s="46"/>
      <c r="U98" s="46"/>
      <c r="V98" s="46"/>
      <c r="W98" s="46"/>
    </row>
    <row r="99" spans="1:23" x14ac:dyDescent="0.3">
      <c r="A99" s="50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46"/>
      <c r="P99" s="46"/>
      <c r="Q99" s="46"/>
      <c r="R99" s="46"/>
      <c r="S99" s="46"/>
      <c r="T99" s="46"/>
      <c r="U99" s="46"/>
      <c r="V99" s="46"/>
      <c r="W99" s="46"/>
    </row>
    <row r="100" spans="1:23" x14ac:dyDescent="0.3">
      <c r="A100" s="50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46"/>
      <c r="P100" s="46"/>
      <c r="Q100" s="46"/>
      <c r="R100" s="46"/>
      <c r="S100" s="46"/>
      <c r="T100" s="46"/>
      <c r="U100" s="46"/>
      <c r="V100" s="46"/>
      <c r="W100" s="46"/>
    </row>
    <row r="101" spans="1:23" x14ac:dyDescent="0.3">
      <c r="A101" s="50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46"/>
      <c r="P101" s="46"/>
      <c r="Q101" s="46"/>
      <c r="R101" s="46"/>
      <c r="S101" s="46"/>
      <c r="T101" s="46"/>
      <c r="U101" s="46"/>
      <c r="V101" s="46"/>
      <c r="W101" s="46"/>
    </row>
    <row r="102" spans="1:23" x14ac:dyDescent="0.3">
      <c r="A102" s="50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46"/>
      <c r="P102" s="46"/>
      <c r="Q102" s="46"/>
      <c r="R102" s="46"/>
      <c r="S102" s="46"/>
      <c r="T102" s="46"/>
      <c r="U102" s="46"/>
      <c r="V102" s="46"/>
      <c r="W102" s="46"/>
    </row>
    <row r="103" spans="1:23" x14ac:dyDescent="0.3">
      <c r="A103" s="50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46"/>
      <c r="P103" s="46"/>
      <c r="Q103" s="46"/>
      <c r="R103" s="46"/>
      <c r="S103" s="46"/>
      <c r="T103" s="46"/>
      <c r="U103" s="46"/>
      <c r="V103" s="46"/>
      <c r="W103" s="46"/>
    </row>
    <row r="104" spans="1:23" x14ac:dyDescent="0.3">
      <c r="A104" s="50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46"/>
      <c r="P104" s="46"/>
      <c r="Q104" s="46"/>
      <c r="R104" s="46"/>
      <c r="S104" s="46"/>
      <c r="T104" s="46"/>
      <c r="U104" s="46"/>
      <c r="V104" s="46"/>
      <c r="W104" s="46"/>
    </row>
    <row r="105" spans="1:23" x14ac:dyDescent="0.3">
      <c r="A105" s="50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46"/>
      <c r="P105" s="46"/>
      <c r="Q105" s="46"/>
      <c r="R105" s="46"/>
      <c r="S105" s="46"/>
      <c r="T105" s="46"/>
      <c r="U105" s="46"/>
      <c r="V105" s="46"/>
      <c r="W105" s="46"/>
    </row>
    <row r="106" spans="1:23" x14ac:dyDescent="0.3">
      <c r="A106" s="50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46"/>
      <c r="P106" s="46"/>
      <c r="Q106" s="46"/>
      <c r="R106" s="46"/>
      <c r="S106" s="46"/>
      <c r="T106" s="46"/>
      <c r="U106" s="46"/>
      <c r="V106" s="46"/>
      <c r="W106" s="46"/>
    </row>
    <row r="107" spans="1:23" x14ac:dyDescent="0.3">
      <c r="A107" s="50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46"/>
      <c r="P107" s="46"/>
      <c r="Q107" s="46"/>
      <c r="R107" s="46"/>
      <c r="S107" s="46"/>
      <c r="T107" s="46"/>
      <c r="U107" s="46"/>
      <c r="V107" s="46"/>
      <c r="W107" s="46"/>
    </row>
    <row r="108" spans="1:23" x14ac:dyDescent="0.3">
      <c r="A108" s="50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46"/>
      <c r="P108" s="46"/>
      <c r="Q108" s="46"/>
      <c r="R108" s="46"/>
      <c r="S108" s="46"/>
      <c r="T108" s="46"/>
      <c r="U108" s="46"/>
      <c r="V108" s="46"/>
      <c r="W108" s="46"/>
    </row>
    <row r="109" spans="1:23" x14ac:dyDescent="0.3">
      <c r="A109" s="50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46"/>
      <c r="P109" s="46"/>
      <c r="Q109" s="46"/>
      <c r="R109" s="46"/>
      <c r="S109" s="46"/>
      <c r="T109" s="46"/>
      <c r="U109" s="46"/>
      <c r="V109" s="46"/>
      <c r="W109" s="46"/>
    </row>
    <row r="110" spans="1:23" x14ac:dyDescent="0.3">
      <c r="A110" s="50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46"/>
      <c r="P110" s="46"/>
      <c r="Q110" s="46"/>
      <c r="R110" s="46"/>
      <c r="S110" s="46"/>
      <c r="T110" s="46"/>
      <c r="U110" s="46"/>
      <c r="V110" s="46"/>
      <c r="W110" s="46"/>
    </row>
    <row r="111" spans="1:23" x14ac:dyDescent="0.3">
      <c r="A111" s="50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46"/>
      <c r="P111" s="46"/>
      <c r="Q111" s="46"/>
      <c r="R111" s="46"/>
      <c r="S111" s="46"/>
      <c r="T111" s="46"/>
      <c r="U111" s="46"/>
      <c r="V111" s="46"/>
      <c r="W111" s="46"/>
    </row>
    <row r="112" spans="1:23" x14ac:dyDescent="0.3">
      <c r="A112" s="50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46"/>
      <c r="P112" s="46"/>
      <c r="Q112" s="46"/>
      <c r="R112" s="46"/>
      <c r="S112" s="46"/>
      <c r="T112" s="46"/>
      <c r="U112" s="46"/>
      <c r="V112" s="46"/>
      <c r="W112" s="46"/>
    </row>
    <row r="113" spans="1:23" x14ac:dyDescent="0.3">
      <c r="A113" s="50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46"/>
      <c r="P113" s="46"/>
      <c r="Q113" s="46"/>
      <c r="R113" s="46"/>
      <c r="S113" s="46"/>
      <c r="T113" s="46"/>
      <c r="U113" s="46"/>
      <c r="V113" s="46"/>
      <c r="W113" s="46"/>
    </row>
    <row r="114" spans="1:23" x14ac:dyDescent="0.3">
      <c r="A114" s="50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46"/>
      <c r="P114" s="46"/>
      <c r="Q114" s="46"/>
      <c r="R114" s="46"/>
      <c r="S114" s="46"/>
      <c r="T114" s="46"/>
      <c r="U114" s="46"/>
      <c r="V114" s="46"/>
      <c r="W114" s="46"/>
    </row>
    <row r="115" spans="1:23" x14ac:dyDescent="0.3">
      <c r="A115" s="50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46"/>
      <c r="P115" s="46"/>
      <c r="Q115" s="46"/>
      <c r="R115" s="46"/>
      <c r="S115" s="46"/>
      <c r="T115" s="46"/>
      <c r="U115" s="46"/>
      <c r="V115" s="46"/>
      <c r="W115" s="46"/>
    </row>
    <row r="116" spans="1:23" x14ac:dyDescent="0.3">
      <c r="A116" s="50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46"/>
      <c r="P116" s="46"/>
      <c r="Q116" s="46"/>
      <c r="R116" s="46"/>
      <c r="S116" s="46"/>
      <c r="T116" s="46"/>
      <c r="U116" s="46"/>
      <c r="V116" s="46"/>
      <c r="W116" s="46"/>
    </row>
    <row r="117" spans="1:23" x14ac:dyDescent="0.3">
      <c r="A117" s="50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46"/>
      <c r="P117" s="46"/>
      <c r="Q117" s="46"/>
      <c r="R117" s="46"/>
      <c r="S117" s="46"/>
      <c r="T117" s="46"/>
      <c r="U117" s="46"/>
      <c r="V117" s="46"/>
      <c r="W117" s="46"/>
    </row>
    <row r="118" spans="1:23" x14ac:dyDescent="0.3">
      <c r="A118" s="50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46"/>
      <c r="P118" s="46"/>
      <c r="Q118" s="46"/>
      <c r="R118" s="46"/>
      <c r="S118" s="46"/>
      <c r="T118" s="46"/>
      <c r="U118" s="46"/>
      <c r="V118" s="46"/>
      <c r="W118" s="46"/>
    </row>
    <row r="119" spans="1:23" x14ac:dyDescent="0.3">
      <c r="A119" s="50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46"/>
      <c r="P119" s="46"/>
      <c r="Q119" s="46"/>
      <c r="R119" s="46"/>
      <c r="S119" s="46"/>
      <c r="T119" s="46"/>
      <c r="U119" s="46"/>
      <c r="V119" s="46"/>
      <c r="W119" s="46"/>
    </row>
    <row r="120" spans="1:23" x14ac:dyDescent="0.3">
      <c r="A120" s="50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46"/>
      <c r="P120" s="46"/>
      <c r="Q120" s="46"/>
      <c r="R120" s="46"/>
      <c r="S120" s="46"/>
      <c r="T120" s="46"/>
      <c r="U120" s="46"/>
      <c r="V120" s="46"/>
      <c r="W120" s="46"/>
    </row>
    <row r="121" spans="1:23" x14ac:dyDescent="0.3">
      <c r="A121" s="50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46"/>
      <c r="P121" s="46"/>
      <c r="Q121" s="46"/>
      <c r="R121" s="46"/>
      <c r="S121" s="46"/>
      <c r="T121" s="46"/>
      <c r="U121" s="46"/>
      <c r="V121" s="46"/>
      <c r="W121" s="46"/>
    </row>
    <row r="122" spans="1:23" x14ac:dyDescent="0.3">
      <c r="A122" s="50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46"/>
      <c r="P122" s="46"/>
      <c r="Q122" s="46"/>
      <c r="R122" s="46"/>
      <c r="S122" s="46"/>
      <c r="T122" s="46"/>
      <c r="U122" s="46"/>
      <c r="V122" s="46"/>
      <c r="W122" s="46"/>
    </row>
    <row r="123" spans="1:23" x14ac:dyDescent="0.3">
      <c r="A123" s="50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46"/>
      <c r="P123" s="46"/>
      <c r="Q123" s="46"/>
      <c r="R123" s="46"/>
      <c r="S123" s="46"/>
      <c r="T123" s="46"/>
      <c r="U123" s="46"/>
      <c r="V123" s="46"/>
      <c r="W123" s="46"/>
    </row>
    <row r="124" spans="1:23" x14ac:dyDescent="0.3">
      <c r="A124" s="50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46"/>
      <c r="P124" s="46"/>
      <c r="Q124" s="46"/>
      <c r="R124" s="46"/>
      <c r="S124" s="46"/>
      <c r="T124" s="46"/>
      <c r="U124" s="46"/>
      <c r="V124" s="46"/>
      <c r="W124" s="46"/>
    </row>
    <row r="125" spans="1:23" x14ac:dyDescent="0.3">
      <c r="A125" s="50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46"/>
      <c r="P125" s="46"/>
      <c r="Q125" s="46"/>
      <c r="R125" s="46"/>
      <c r="S125" s="46"/>
      <c r="T125" s="46"/>
      <c r="U125" s="46"/>
      <c r="V125" s="46"/>
      <c r="W125" s="46"/>
    </row>
    <row r="126" spans="1:23" x14ac:dyDescent="0.3">
      <c r="A126" s="50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46"/>
      <c r="P126" s="46"/>
      <c r="Q126" s="46"/>
      <c r="R126" s="46"/>
      <c r="S126" s="46"/>
      <c r="T126" s="46"/>
      <c r="U126" s="46"/>
      <c r="V126" s="46"/>
      <c r="W126" s="46"/>
    </row>
    <row r="127" spans="1:23" x14ac:dyDescent="0.3">
      <c r="A127" s="50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46"/>
      <c r="P127" s="46"/>
      <c r="Q127" s="46"/>
      <c r="R127" s="46"/>
      <c r="S127" s="46"/>
      <c r="T127" s="46"/>
      <c r="U127" s="46"/>
      <c r="V127" s="46"/>
      <c r="W127" s="46"/>
    </row>
    <row r="128" spans="1:23" x14ac:dyDescent="0.3">
      <c r="A128" s="50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46"/>
      <c r="P128" s="46"/>
      <c r="Q128" s="46"/>
      <c r="R128" s="46"/>
      <c r="S128" s="46"/>
      <c r="T128" s="46"/>
      <c r="U128" s="46"/>
      <c r="V128" s="46"/>
      <c r="W128" s="46"/>
    </row>
    <row r="129" spans="1:23" x14ac:dyDescent="0.3">
      <c r="A129" s="50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46"/>
      <c r="P129" s="46"/>
      <c r="Q129" s="46"/>
      <c r="R129" s="46"/>
      <c r="S129" s="46"/>
      <c r="T129" s="46"/>
      <c r="U129" s="46"/>
      <c r="V129" s="46"/>
      <c r="W129" s="46"/>
    </row>
    <row r="130" spans="1:23" x14ac:dyDescent="0.3">
      <c r="A130" s="50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46"/>
      <c r="P130" s="46"/>
      <c r="Q130" s="46"/>
      <c r="R130" s="46"/>
      <c r="S130" s="46"/>
      <c r="T130" s="46"/>
      <c r="U130" s="46"/>
      <c r="V130" s="46"/>
      <c r="W130" s="46"/>
    </row>
    <row r="131" spans="1:23" x14ac:dyDescent="0.3">
      <c r="A131" s="50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46"/>
      <c r="P131" s="46"/>
      <c r="Q131" s="46"/>
      <c r="R131" s="46"/>
      <c r="S131" s="46"/>
      <c r="T131" s="46"/>
      <c r="U131" s="46"/>
      <c r="V131" s="46"/>
      <c r="W131" s="46"/>
    </row>
    <row r="132" spans="1:23" x14ac:dyDescent="0.3">
      <c r="A132" s="50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46"/>
      <c r="P132" s="46"/>
      <c r="Q132" s="46"/>
      <c r="R132" s="46"/>
      <c r="S132" s="46"/>
      <c r="T132" s="46"/>
      <c r="U132" s="46"/>
      <c r="V132" s="46"/>
      <c r="W132" s="46"/>
    </row>
    <row r="133" spans="1:23" x14ac:dyDescent="0.3">
      <c r="A133" s="50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46"/>
      <c r="P133" s="46"/>
      <c r="Q133" s="46"/>
      <c r="R133" s="46"/>
      <c r="S133" s="46"/>
      <c r="T133" s="46"/>
      <c r="U133" s="46"/>
      <c r="V133" s="46"/>
      <c r="W133" s="46"/>
    </row>
    <row r="134" spans="1:23" x14ac:dyDescent="0.3">
      <c r="A134" s="50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46"/>
      <c r="P134" s="46"/>
      <c r="Q134" s="46"/>
      <c r="R134" s="46"/>
      <c r="S134" s="46"/>
      <c r="T134" s="46"/>
      <c r="U134" s="46"/>
      <c r="V134" s="46"/>
      <c r="W134" s="46"/>
    </row>
    <row r="135" spans="1:23" x14ac:dyDescent="0.3">
      <c r="A135" s="50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46"/>
      <c r="P135" s="46"/>
      <c r="Q135" s="46"/>
      <c r="R135" s="46"/>
      <c r="S135" s="46"/>
      <c r="T135" s="46"/>
      <c r="U135" s="46"/>
      <c r="V135" s="46"/>
      <c r="W135" s="46"/>
    </row>
    <row r="136" spans="1:23" x14ac:dyDescent="0.3">
      <c r="A136" s="50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46"/>
      <c r="P136" s="46"/>
      <c r="Q136" s="46"/>
      <c r="R136" s="46"/>
      <c r="S136" s="46"/>
      <c r="T136" s="46"/>
      <c r="U136" s="46"/>
      <c r="V136" s="46"/>
      <c r="W136" s="46"/>
    </row>
    <row r="137" spans="1:23" x14ac:dyDescent="0.3">
      <c r="A137" s="50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46"/>
      <c r="P137" s="46"/>
      <c r="Q137" s="46"/>
      <c r="R137" s="46"/>
      <c r="S137" s="46"/>
      <c r="T137" s="46"/>
      <c r="U137" s="46"/>
      <c r="V137" s="46"/>
      <c r="W137" s="46"/>
    </row>
    <row r="138" spans="1:23" x14ac:dyDescent="0.3">
      <c r="A138" s="50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46"/>
      <c r="P138" s="46"/>
      <c r="Q138" s="46"/>
      <c r="R138" s="46"/>
      <c r="S138" s="46"/>
      <c r="T138" s="46"/>
      <c r="U138" s="46"/>
      <c r="V138" s="46"/>
      <c r="W138" s="46"/>
    </row>
    <row r="139" spans="1:23" x14ac:dyDescent="0.3">
      <c r="A139" s="50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46"/>
      <c r="P139" s="46"/>
      <c r="Q139" s="46"/>
      <c r="R139" s="46"/>
      <c r="S139" s="46"/>
      <c r="T139" s="46"/>
      <c r="U139" s="46"/>
      <c r="V139" s="46"/>
      <c r="W139" s="46"/>
    </row>
    <row r="140" spans="1:23" x14ac:dyDescent="0.3">
      <c r="A140" s="50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46"/>
      <c r="P140" s="46"/>
      <c r="Q140" s="46"/>
      <c r="R140" s="46"/>
      <c r="S140" s="46"/>
      <c r="T140" s="46"/>
      <c r="U140" s="46"/>
      <c r="V140" s="46"/>
      <c r="W140" s="46"/>
    </row>
    <row r="141" spans="1:23" x14ac:dyDescent="0.3">
      <c r="A141" s="50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46"/>
      <c r="P141" s="46"/>
      <c r="Q141" s="46"/>
      <c r="R141" s="46"/>
      <c r="S141" s="46"/>
      <c r="T141" s="46"/>
      <c r="U141" s="46"/>
      <c r="V141" s="46"/>
      <c r="W141" s="46"/>
    </row>
    <row r="142" spans="1:23" x14ac:dyDescent="0.3">
      <c r="A142" s="50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46"/>
      <c r="P142" s="46"/>
      <c r="Q142" s="46"/>
      <c r="R142" s="46"/>
      <c r="S142" s="46"/>
      <c r="T142" s="46"/>
      <c r="U142" s="46"/>
      <c r="V142" s="46"/>
      <c r="W142" s="46"/>
    </row>
    <row r="143" spans="1:23" x14ac:dyDescent="0.3">
      <c r="A143" s="50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46"/>
      <c r="P143" s="46"/>
      <c r="Q143" s="46"/>
      <c r="R143" s="46"/>
      <c r="S143" s="46"/>
      <c r="T143" s="46"/>
      <c r="U143" s="46"/>
      <c r="V143" s="46"/>
      <c r="W143" s="46"/>
    </row>
    <row r="144" spans="1:23" x14ac:dyDescent="0.3">
      <c r="A144" s="50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46"/>
      <c r="P144" s="46"/>
      <c r="Q144" s="46"/>
      <c r="R144" s="46"/>
      <c r="S144" s="46"/>
      <c r="T144" s="46"/>
      <c r="U144" s="46"/>
      <c r="V144" s="46"/>
      <c r="W144" s="46"/>
    </row>
    <row r="145" spans="1:23" x14ac:dyDescent="0.3">
      <c r="A145" s="50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46"/>
      <c r="P145" s="46"/>
      <c r="Q145" s="46"/>
      <c r="R145" s="46"/>
      <c r="S145" s="46"/>
      <c r="T145" s="46"/>
      <c r="U145" s="46"/>
      <c r="V145" s="46"/>
      <c r="W145" s="46"/>
    </row>
    <row r="146" spans="1:23" x14ac:dyDescent="0.3">
      <c r="A146" s="50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46"/>
      <c r="P146" s="46"/>
      <c r="Q146" s="46"/>
      <c r="R146" s="46"/>
      <c r="S146" s="46"/>
      <c r="T146" s="46"/>
      <c r="U146" s="46"/>
      <c r="V146" s="46"/>
      <c r="W146" s="46"/>
    </row>
    <row r="147" spans="1:23" x14ac:dyDescent="0.3">
      <c r="A147" s="50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46"/>
      <c r="P147" s="46"/>
      <c r="Q147" s="46"/>
      <c r="R147" s="46"/>
      <c r="S147" s="46"/>
      <c r="T147" s="46"/>
      <c r="U147" s="46"/>
      <c r="V147" s="46"/>
      <c r="W147" s="46"/>
    </row>
    <row r="148" spans="1:23" x14ac:dyDescent="0.3">
      <c r="A148" s="50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46"/>
      <c r="P148" s="46"/>
      <c r="Q148" s="46"/>
      <c r="R148" s="46"/>
      <c r="S148" s="46"/>
      <c r="T148" s="46"/>
      <c r="U148" s="46"/>
      <c r="V148" s="46"/>
      <c r="W148" s="46"/>
    </row>
    <row r="149" spans="1:23" x14ac:dyDescent="0.3">
      <c r="A149" s="50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46"/>
      <c r="P149" s="46"/>
      <c r="Q149" s="46"/>
      <c r="R149" s="46"/>
      <c r="S149" s="46"/>
      <c r="T149" s="46"/>
      <c r="U149" s="46"/>
      <c r="V149" s="46"/>
      <c r="W149" s="46"/>
    </row>
    <row r="150" spans="1:23" x14ac:dyDescent="0.3">
      <c r="A150" s="50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46"/>
      <c r="P150" s="46"/>
      <c r="Q150" s="46"/>
      <c r="R150" s="46"/>
      <c r="S150" s="46"/>
      <c r="T150" s="46"/>
      <c r="U150" s="46"/>
      <c r="V150" s="46"/>
      <c r="W150" s="46"/>
    </row>
    <row r="151" spans="1:23" x14ac:dyDescent="0.3">
      <c r="A151" s="50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46"/>
      <c r="P151" s="46"/>
      <c r="Q151" s="46"/>
      <c r="R151" s="46"/>
      <c r="S151" s="46"/>
      <c r="T151" s="46"/>
      <c r="U151" s="46"/>
      <c r="V151" s="46"/>
      <c r="W151" s="46"/>
    </row>
    <row r="152" spans="1:23" x14ac:dyDescent="0.3">
      <c r="A152" s="50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46"/>
      <c r="P152" s="46"/>
      <c r="Q152" s="46"/>
      <c r="R152" s="46"/>
      <c r="S152" s="46"/>
      <c r="T152" s="46"/>
      <c r="U152" s="46"/>
      <c r="V152" s="46"/>
      <c r="W152" s="46"/>
    </row>
    <row r="153" spans="1:23" x14ac:dyDescent="0.3">
      <c r="A153" s="50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46"/>
      <c r="P153" s="46"/>
      <c r="Q153" s="46"/>
      <c r="R153" s="46"/>
      <c r="S153" s="46"/>
      <c r="T153" s="46"/>
      <c r="U153" s="46"/>
      <c r="V153" s="46"/>
      <c r="W153" s="46"/>
    </row>
    <row r="154" spans="1:23" x14ac:dyDescent="0.3">
      <c r="A154" s="50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46"/>
      <c r="P154" s="46"/>
      <c r="Q154" s="46"/>
      <c r="R154" s="46"/>
      <c r="S154" s="46"/>
      <c r="T154" s="46"/>
      <c r="U154" s="46"/>
      <c r="V154" s="46"/>
      <c r="W154" s="46"/>
    </row>
    <row r="155" spans="1:23" x14ac:dyDescent="0.3">
      <c r="A155" s="50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46"/>
      <c r="P155" s="46"/>
      <c r="Q155" s="46"/>
      <c r="R155" s="46"/>
      <c r="S155" s="46"/>
      <c r="T155" s="46"/>
      <c r="U155" s="46"/>
      <c r="V155" s="46"/>
      <c r="W155" s="46"/>
    </row>
    <row r="156" spans="1:23" x14ac:dyDescent="0.3">
      <c r="A156" s="50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46"/>
      <c r="P156" s="46"/>
      <c r="Q156" s="46"/>
      <c r="R156" s="46"/>
      <c r="S156" s="46"/>
      <c r="T156" s="46"/>
      <c r="U156" s="46"/>
      <c r="V156" s="46"/>
      <c r="W156" s="46"/>
    </row>
    <row r="157" spans="1:23" x14ac:dyDescent="0.3">
      <c r="A157" s="50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46"/>
      <c r="P157" s="46"/>
      <c r="Q157" s="46"/>
      <c r="R157" s="46"/>
      <c r="S157" s="46"/>
      <c r="T157" s="46"/>
      <c r="U157" s="46"/>
      <c r="V157" s="46"/>
      <c r="W157" s="46"/>
    </row>
    <row r="158" spans="1:23" x14ac:dyDescent="0.3">
      <c r="A158" s="50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46"/>
      <c r="P158" s="46"/>
      <c r="Q158" s="46"/>
      <c r="R158" s="46"/>
      <c r="S158" s="46"/>
      <c r="T158" s="46"/>
      <c r="U158" s="46"/>
      <c r="V158" s="46"/>
      <c r="W158" s="46"/>
    </row>
    <row r="159" spans="1:23" x14ac:dyDescent="0.3">
      <c r="A159" s="50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46"/>
      <c r="P159" s="46"/>
      <c r="Q159" s="46"/>
      <c r="R159" s="46"/>
      <c r="S159" s="46"/>
      <c r="T159" s="46"/>
      <c r="U159" s="46"/>
      <c r="V159" s="46"/>
      <c r="W159" s="46"/>
    </row>
    <row r="160" spans="1:23" x14ac:dyDescent="0.3">
      <c r="A160" s="50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46"/>
      <c r="P160" s="46"/>
      <c r="Q160" s="46"/>
      <c r="R160" s="46"/>
      <c r="S160" s="46"/>
      <c r="T160" s="46"/>
      <c r="U160" s="46"/>
      <c r="V160" s="46"/>
      <c r="W160" s="46"/>
    </row>
    <row r="161" spans="1:23" x14ac:dyDescent="0.3">
      <c r="A161" s="50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46"/>
      <c r="P161" s="46"/>
      <c r="Q161" s="46"/>
      <c r="R161" s="46"/>
      <c r="S161" s="46"/>
      <c r="T161" s="46"/>
      <c r="U161" s="46"/>
      <c r="V161" s="46"/>
      <c r="W161" s="46"/>
    </row>
    <row r="162" spans="1:23" x14ac:dyDescent="0.3">
      <c r="A162" s="50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46"/>
      <c r="P162" s="46"/>
      <c r="Q162" s="46"/>
      <c r="R162" s="46"/>
      <c r="S162" s="46"/>
      <c r="T162" s="46"/>
      <c r="U162" s="46"/>
      <c r="V162" s="46"/>
      <c r="W162" s="46"/>
    </row>
    <row r="163" spans="1:23" x14ac:dyDescent="0.3">
      <c r="A163" s="50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46"/>
      <c r="P163" s="46"/>
      <c r="Q163" s="46"/>
      <c r="R163" s="46"/>
      <c r="S163" s="46"/>
      <c r="T163" s="46"/>
      <c r="U163" s="46"/>
      <c r="V163" s="46"/>
      <c r="W163" s="46"/>
    </row>
    <row r="164" spans="1:23" x14ac:dyDescent="0.3">
      <c r="A164" s="50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46"/>
      <c r="P164" s="46"/>
      <c r="Q164" s="46"/>
      <c r="R164" s="46"/>
      <c r="S164" s="46"/>
      <c r="T164" s="46"/>
      <c r="U164" s="46"/>
      <c r="V164" s="46"/>
      <c r="W164" s="46"/>
    </row>
    <row r="165" spans="1:23" x14ac:dyDescent="0.3">
      <c r="A165" s="50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46"/>
      <c r="P165" s="46"/>
      <c r="Q165" s="46"/>
      <c r="R165" s="46"/>
      <c r="S165" s="46"/>
      <c r="T165" s="46"/>
      <c r="U165" s="46"/>
      <c r="V165" s="46"/>
      <c r="W165" s="46"/>
    </row>
    <row r="166" spans="1:23" x14ac:dyDescent="0.3">
      <c r="A166" s="50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46"/>
      <c r="P166" s="46"/>
      <c r="Q166" s="46"/>
      <c r="R166" s="46"/>
      <c r="S166" s="46"/>
      <c r="T166" s="46"/>
      <c r="U166" s="46"/>
      <c r="V166" s="46"/>
      <c r="W166" s="46"/>
    </row>
    <row r="167" spans="1:23" x14ac:dyDescent="0.3">
      <c r="A167" s="50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46"/>
      <c r="P167" s="46"/>
      <c r="Q167" s="46"/>
      <c r="R167" s="46"/>
      <c r="S167" s="46"/>
      <c r="T167" s="46"/>
      <c r="U167" s="46"/>
      <c r="V167" s="46"/>
      <c r="W167" s="46"/>
    </row>
    <row r="168" spans="1:23" x14ac:dyDescent="0.3">
      <c r="A168" s="50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46"/>
      <c r="P168" s="46"/>
      <c r="Q168" s="46"/>
      <c r="R168" s="46"/>
      <c r="S168" s="46"/>
      <c r="T168" s="46"/>
      <c r="U168" s="46"/>
      <c r="V168" s="46"/>
      <c r="W168" s="46"/>
    </row>
    <row r="169" spans="1:23" x14ac:dyDescent="0.3">
      <c r="A169" s="50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46"/>
      <c r="P169" s="46"/>
      <c r="Q169" s="46"/>
      <c r="R169" s="46"/>
      <c r="S169" s="46"/>
      <c r="T169" s="46"/>
      <c r="U169" s="46"/>
      <c r="V169" s="46"/>
      <c r="W169" s="46"/>
    </row>
    <row r="170" spans="1:23" x14ac:dyDescent="0.3">
      <c r="A170" s="50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46"/>
      <c r="P170" s="46"/>
      <c r="Q170" s="46"/>
      <c r="R170" s="46"/>
      <c r="S170" s="46"/>
      <c r="T170" s="46"/>
      <c r="U170" s="46"/>
      <c r="V170" s="46"/>
      <c r="W170" s="46"/>
    </row>
    <row r="171" spans="1:23" x14ac:dyDescent="0.3">
      <c r="A171" s="50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46"/>
      <c r="P171" s="46"/>
      <c r="Q171" s="46"/>
      <c r="R171" s="46"/>
      <c r="S171" s="46"/>
      <c r="T171" s="46"/>
      <c r="U171" s="46"/>
      <c r="V171" s="46"/>
      <c r="W171" s="46"/>
    </row>
    <row r="172" spans="1:23" x14ac:dyDescent="0.3">
      <c r="A172" s="50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46"/>
      <c r="P172" s="46"/>
      <c r="Q172" s="46"/>
      <c r="R172" s="46"/>
      <c r="S172" s="46"/>
      <c r="T172" s="46"/>
      <c r="U172" s="46"/>
      <c r="V172" s="46"/>
      <c r="W172" s="46"/>
    </row>
    <row r="173" spans="1:23" x14ac:dyDescent="0.3">
      <c r="A173" s="50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46"/>
      <c r="P173" s="46"/>
      <c r="Q173" s="46"/>
      <c r="R173" s="46"/>
      <c r="S173" s="46"/>
      <c r="T173" s="46"/>
      <c r="U173" s="46"/>
      <c r="V173" s="46"/>
      <c r="W173" s="46"/>
    </row>
    <row r="174" spans="1:23" x14ac:dyDescent="0.3">
      <c r="A174" s="50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46"/>
      <c r="P174" s="46"/>
      <c r="Q174" s="46"/>
      <c r="R174" s="46"/>
      <c r="S174" s="46"/>
      <c r="T174" s="46"/>
      <c r="U174" s="46"/>
      <c r="V174" s="46"/>
      <c r="W174" s="46"/>
    </row>
    <row r="175" spans="1:23" x14ac:dyDescent="0.3">
      <c r="A175" s="50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46"/>
      <c r="P175" s="46"/>
      <c r="Q175" s="46"/>
      <c r="R175" s="46"/>
      <c r="S175" s="46"/>
      <c r="T175" s="46"/>
      <c r="U175" s="46"/>
      <c r="V175" s="46"/>
      <c r="W175" s="46"/>
    </row>
    <row r="176" spans="1:23" x14ac:dyDescent="0.3">
      <c r="A176" s="50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46"/>
      <c r="P176" s="46"/>
      <c r="Q176" s="46"/>
      <c r="R176" s="46"/>
      <c r="S176" s="46"/>
      <c r="T176" s="46"/>
      <c r="U176" s="46"/>
      <c r="V176" s="46"/>
      <c r="W176" s="46"/>
    </row>
    <row r="177" spans="1:23" x14ac:dyDescent="0.3">
      <c r="A177" s="50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46"/>
      <c r="P177" s="46"/>
      <c r="Q177" s="46"/>
      <c r="R177" s="46"/>
      <c r="S177" s="46"/>
      <c r="T177" s="46"/>
      <c r="U177" s="46"/>
      <c r="V177" s="46"/>
      <c r="W177" s="46"/>
    </row>
    <row r="178" spans="1:23" x14ac:dyDescent="0.3">
      <c r="A178" s="50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46"/>
      <c r="P178" s="46"/>
      <c r="Q178" s="46"/>
      <c r="R178" s="46"/>
      <c r="S178" s="46"/>
      <c r="T178" s="46"/>
      <c r="U178" s="46"/>
      <c r="V178" s="46"/>
      <c r="W178" s="46"/>
    </row>
    <row r="179" spans="1:23" x14ac:dyDescent="0.3">
      <c r="A179" s="50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46"/>
      <c r="P179" s="46"/>
      <c r="Q179" s="46"/>
      <c r="R179" s="46"/>
      <c r="S179" s="46"/>
      <c r="T179" s="46"/>
      <c r="U179" s="46"/>
      <c r="V179" s="46"/>
      <c r="W179" s="46"/>
    </row>
    <row r="180" spans="1:23" x14ac:dyDescent="0.3">
      <c r="A180" s="50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46"/>
      <c r="P180" s="46"/>
      <c r="Q180" s="46"/>
      <c r="R180" s="46"/>
      <c r="S180" s="46"/>
      <c r="T180" s="46"/>
      <c r="U180" s="46"/>
      <c r="V180" s="46"/>
      <c r="W180" s="46"/>
    </row>
    <row r="181" spans="1:23" x14ac:dyDescent="0.3">
      <c r="A181" s="50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46"/>
      <c r="P181" s="46"/>
      <c r="Q181" s="46"/>
      <c r="R181" s="46"/>
      <c r="S181" s="46"/>
      <c r="T181" s="46"/>
      <c r="U181" s="46"/>
      <c r="V181" s="46"/>
      <c r="W181" s="46"/>
    </row>
    <row r="182" spans="1:23" x14ac:dyDescent="0.3">
      <c r="A182" s="50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46"/>
      <c r="P182" s="46"/>
      <c r="Q182" s="46"/>
      <c r="R182" s="46"/>
      <c r="S182" s="46"/>
      <c r="T182" s="46"/>
      <c r="U182" s="46"/>
      <c r="V182" s="46"/>
      <c r="W182" s="46"/>
    </row>
    <row r="183" spans="1:23" x14ac:dyDescent="0.3">
      <c r="A183" s="50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46"/>
      <c r="P183" s="46"/>
      <c r="Q183" s="46"/>
      <c r="R183" s="46"/>
      <c r="S183" s="46"/>
      <c r="T183" s="46"/>
      <c r="U183" s="46"/>
      <c r="V183" s="46"/>
      <c r="W183" s="46"/>
    </row>
    <row r="184" spans="1:23" x14ac:dyDescent="0.3">
      <c r="A184" s="50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46"/>
      <c r="P184" s="46"/>
      <c r="Q184" s="46"/>
      <c r="R184" s="46"/>
      <c r="S184" s="46"/>
      <c r="T184" s="46"/>
      <c r="U184" s="46"/>
      <c r="V184" s="46"/>
      <c r="W184" s="46"/>
    </row>
    <row r="185" spans="1:23" x14ac:dyDescent="0.3">
      <c r="A185" s="50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46"/>
      <c r="P185" s="46"/>
      <c r="Q185" s="46"/>
      <c r="R185" s="46"/>
      <c r="S185" s="46"/>
      <c r="T185" s="46"/>
      <c r="U185" s="46"/>
      <c r="V185" s="46"/>
      <c r="W185" s="46"/>
    </row>
    <row r="186" spans="1:23" x14ac:dyDescent="0.3">
      <c r="A186" s="50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46"/>
      <c r="P186" s="46"/>
      <c r="Q186" s="46"/>
      <c r="R186" s="46"/>
      <c r="S186" s="46"/>
      <c r="T186" s="46"/>
      <c r="U186" s="46"/>
      <c r="V186" s="46"/>
      <c r="W186" s="46"/>
    </row>
    <row r="187" spans="1:23" x14ac:dyDescent="0.3">
      <c r="A187" s="50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46"/>
      <c r="P187" s="46"/>
      <c r="Q187" s="46"/>
      <c r="R187" s="46"/>
      <c r="S187" s="46"/>
      <c r="T187" s="46"/>
      <c r="U187" s="46"/>
      <c r="V187" s="46"/>
      <c r="W187" s="46"/>
    </row>
    <row r="188" spans="1:23" x14ac:dyDescent="0.3">
      <c r="A188" s="50"/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46"/>
      <c r="P188" s="46"/>
      <c r="Q188" s="46"/>
      <c r="R188" s="46"/>
      <c r="S188" s="46"/>
      <c r="T188" s="46"/>
      <c r="U188" s="46"/>
      <c r="V188" s="46"/>
      <c r="W188" s="46"/>
    </row>
    <row r="189" spans="1:23" x14ac:dyDescent="0.3">
      <c r="A189" s="50"/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46"/>
      <c r="P189" s="46"/>
      <c r="Q189" s="46"/>
      <c r="R189" s="46"/>
      <c r="S189" s="46"/>
      <c r="U189" s="46"/>
      <c r="V189" s="46"/>
      <c r="W189" s="46"/>
    </row>
    <row r="190" spans="1:23" x14ac:dyDescent="0.3">
      <c r="A190" s="50"/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46"/>
      <c r="P190" s="46"/>
      <c r="Q190" s="46"/>
      <c r="R190" s="46"/>
      <c r="S190" s="46"/>
      <c r="U190" s="46"/>
      <c r="V190" s="46"/>
      <c r="W190" s="46"/>
    </row>
    <row r="191" spans="1:23" x14ac:dyDescent="0.3">
      <c r="A191" s="50"/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46"/>
      <c r="P191" s="46"/>
      <c r="Q191" s="46"/>
      <c r="R191" s="46"/>
      <c r="S191" s="46"/>
      <c r="U191" s="46"/>
      <c r="V191" s="46"/>
      <c r="W191" s="46"/>
    </row>
    <row r="192" spans="1:23" x14ac:dyDescent="0.3">
      <c r="A192" s="50"/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46"/>
      <c r="P192" s="46"/>
      <c r="Q192" s="46"/>
      <c r="R192" s="46"/>
      <c r="S192" s="46"/>
      <c r="U192" s="46"/>
      <c r="V192" s="46"/>
      <c r="W192" s="46"/>
    </row>
    <row r="193" spans="1:23" x14ac:dyDescent="0.3">
      <c r="A193" s="50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46"/>
      <c r="P193" s="46"/>
      <c r="Q193" s="46"/>
      <c r="R193" s="46"/>
      <c r="S193" s="46"/>
      <c r="U193" s="46"/>
      <c r="V193" s="46"/>
      <c r="W193" s="46"/>
    </row>
    <row r="194" spans="1:23" x14ac:dyDescent="0.3">
      <c r="A194" s="50"/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46"/>
      <c r="P194" s="46"/>
      <c r="Q194" s="46"/>
      <c r="R194" s="46"/>
      <c r="S194" s="46"/>
      <c r="U194" s="46"/>
      <c r="V194" s="46"/>
      <c r="W194" s="46"/>
    </row>
    <row r="195" spans="1:23" x14ac:dyDescent="0.3">
      <c r="A195" s="50"/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46"/>
      <c r="P195" s="46"/>
      <c r="Q195" s="46"/>
      <c r="R195" s="46"/>
      <c r="S195" s="46"/>
      <c r="U195" s="46"/>
      <c r="V195" s="46"/>
      <c r="W195" s="46"/>
    </row>
    <row r="196" spans="1:23" x14ac:dyDescent="0.3">
      <c r="A196" s="50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46"/>
      <c r="P196" s="46"/>
      <c r="Q196" s="46"/>
      <c r="R196" s="46"/>
      <c r="S196" s="46"/>
      <c r="U196" s="46"/>
      <c r="V196" s="46"/>
      <c r="W196" s="46"/>
    </row>
    <row r="197" spans="1:23" x14ac:dyDescent="0.3">
      <c r="A197" s="50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46"/>
      <c r="P197" s="46"/>
      <c r="Q197" s="46"/>
      <c r="R197" s="46"/>
      <c r="S197" s="46"/>
      <c r="U197" s="46"/>
      <c r="V197" s="46"/>
      <c r="W197" s="46"/>
    </row>
    <row r="198" spans="1:23" x14ac:dyDescent="0.3">
      <c r="A198" s="50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46"/>
      <c r="P198" s="46"/>
      <c r="Q198" s="46"/>
      <c r="R198" s="46"/>
      <c r="S198" s="46"/>
      <c r="U198" s="46"/>
      <c r="V198" s="46"/>
      <c r="W198" s="46"/>
    </row>
    <row r="199" spans="1:23" x14ac:dyDescent="0.3">
      <c r="A199" s="50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46"/>
      <c r="P199" s="46"/>
      <c r="Q199" s="46"/>
      <c r="R199" s="46"/>
      <c r="S199" s="46"/>
      <c r="U199" s="46"/>
      <c r="V199" s="46"/>
      <c r="W199" s="46"/>
    </row>
    <row r="200" spans="1:23" x14ac:dyDescent="0.3">
      <c r="A200" s="50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46"/>
      <c r="P200" s="46"/>
      <c r="Q200" s="46"/>
      <c r="R200" s="46"/>
      <c r="S200" s="46"/>
      <c r="U200" s="46"/>
      <c r="V200" s="46"/>
      <c r="W200" s="46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58311-325C-4623-A97F-BB9096977D63}">
  <sheetPr codeName="Sheet5">
    <tabColor theme="4" tint="-0.249977111117893"/>
  </sheetPr>
  <dimension ref="A1:BK29"/>
  <sheetViews>
    <sheetView workbookViewId="0">
      <selection activeCell="G30" sqref="G30"/>
    </sheetView>
  </sheetViews>
  <sheetFormatPr defaultRowHeight="14.4" x14ac:dyDescent="0.3"/>
  <cols>
    <col min="1" max="1" width="11.6640625" customWidth="1"/>
    <col min="2" max="3" width="8.88671875" customWidth="1"/>
    <col min="13" max="13" width="13.77734375" customWidth="1"/>
    <col min="14" max="14" width="12.109375" customWidth="1"/>
    <col min="15" max="16" width="11.88671875" customWidth="1"/>
    <col min="61" max="61" width="11.6640625" customWidth="1"/>
    <col min="62" max="62" width="12.109375" customWidth="1"/>
    <col min="63" max="63" width="17.109375" customWidth="1"/>
  </cols>
  <sheetData>
    <row r="1" spans="1:63" ht="43.2" customHeight="1" x14ac:dyDescent="0.3">
      <c r="A1" s="53"/>
      <c r="B1" s="53"/>
      <c r="C1" s="53"/>
      <c r="D1" s="54" t="s">
        <v>22</v>
      </c>
      <c r="E1" s="53"/>
      <c r="F1" s="53"/>
      <c r="G1" s="53"/>
      <c r="H1" s="53"/>
      <c r="M1" s="58" t="s">
        <v>27</v>
      </c>
      <c r="N1" s="58" t="s">
        <v>24</v>
      </c>
      <c r="O1" s="58" t="s">
        <v>25</v>
      </c>
      <c r="P1" s="58" t="s">
        <v>26</v>
      </c>
      <c r="Q1" s="58" t="s">
        <v>28</v>
      </c>
      <c r="R1" s="58" t="s">
        <v>24</v>
      </c>
      <c r="S1" s="58" t="s">
        <v>25</v>
      </c>
      <c r="T1" s="58" t="s">
        <v>26</v>
      </c>
      <c r="U1" s="58" t="s">
        <v>29</v>
      </c>
      <c r="V1" s="58" t="s">
        <v>24</v>
      </c>
      <c r="W1" s="58" t="s">
        <v>25</v>
      </c>
      <c r="X1" s="58" t="s">
        <v>26</v>
      </c>
      <c r="Y1" s="58" t="s">
        <v>30</v>
      </c>
      <c r="Z1" s="58" t="s">
        <v>24</v>
      </c>
      <c r="AA1" s="58" t="s">
        <v>25</v>
      </c>
      <c r="AB1" s="58" t="s">
        <v>26</v>
      </c>
      <c r="AC1" s="58" t="s">
        <v>31</v>
      </c>
      <c r="AD1" s="58" t="s">
        <v>24</v>
      </c>
      <c r="AE1" s="58" t="s">
        <v>25</v>
      </c>
      <c r="AF1" s="58" t="s">
        <v>26</v>
      </c>
      <c r="AG1" s="58" t="s">
        <v>32</v>
      </c>
      <c r="AH1" s="58" t="s">
        <v>24</v>
      </c>
      <c r="AI1" s="58" t="s">
        <v>25</v>
      </c>
      <c r="AJ1" s="58" t="s">
        <v>26</v>
      </c>
      <c r="AK1" s="58" t="s">
        <v>33</v>
      </c>
      <c r="AL1" s="58" t="s">
        <v>24</v>
      </c>
      <c r="AM1" s="58" t="s">
        <v>25</v>
      </c>
      <c r="AN1" s="58" t="s">
        <v>26</v>
      </c>
      <c r="AO1" s="58" t="s">
        <v>34</v>
      </c>
      <c r="AP1" s="58" t="s">
        <v>24</v>
      </c>
      <c r="AQ1" s="58" t="s">
        <v>25</v>
      </c>
      <c r="AR1" s="58" t="s">
        <v>26</v>
      </c>
      <c r="AS1" s="58" t="s">
        <v>35</v>
      </c>
      <c r="AT1" s="58" t="s">
        <v>24</v>
      </c>
      <c r="AU1" s="58" t="s">
        <v>25</v>
      </c>
      <c r="AV1" s="58" t="s">
        <v>26</v>
      </c>
      <c r="AW1" s="58" t="s">
        <v>36</v>
      </c>
      <c r="AX1" s="58" t="s">
        <v>24</v>
      </c>
      <c r="AY1" s="58" t="s">
        <v>25</v>
      </c>
      <c r="AZ1" s="58" t="s">
        <v>26</v>
      </c>
      <c r="BA1" s="58" t="s">
        <v>37</v>
      </c>
      <c r="BB1" s="58" t="s">
        <v>24</v>
      </c>
      <c r="BC1" s="58" t="s">
        <v>25</v>
      </c>
      <c r="BD1" s="58" t="s">
        <v>26</v>
      </c>
      <c r="BE1" s="58" t="s">
        <v>38</v>
      </c>
      <c r="BF1" s="58" t="s">
        <v>24</v>
      </c>
      <c r="BG1" s="58" t="s">
        <v>25</v>
      </c>
      <c r="BH1" s="58" t="s">
        <v>26</v>
      </c>
      <c r="BI1" s="58" t="s">
        <v>39</v>
      </c>
      <c r="BJ1" s="58" t="s">
        <v>40</v>
      </c>
      <c r="BK1" s="58" t="s">
        <v>41</v>
      </c>
    </row>
    <row r="2" spans="1:63" x14ac:dyDescent="0.3">
      <c r="A2" s="32"/>
      <c r="B2" s="32"/>
      <c r="C2" s="32"/>
      <c r="D2" s="32"/>
      <c r="E2" s="32"/>
      <c r="F2" s="32"/>
      <c r="G2" s="32"/>
      <c r="H2" s="32"/>
      <c r="J2" s="52"/>
      <c r="M2" s="59"/>
      <c r="N2" s="60">
        <f>'STUDENT DETAILS'!W602</f>
        <v>0</v>
      </c>
      <c r="O2" s="61">
        <f>'STUDENT DETAILS'!X602</f>
        <v>0</v>
      </c>
      <c r="P2" s="37">
        <f>'STUDENT DETAILS'!Y602</f>
        <v>0</v>
      </c>
      <c r="Q2" s="59"/>
      <c r="R2" s="60">
        <f>'STUDENT DETAILS'!AA602</f>
        <v>1</v>
      </c>
      <c r="S2" s="61">
        <f>'STUDENT DETAILS'!AB602</f>
        <v>0</v>
      </c>
      <c r="T2" s="37">
        <f>'STUDENT DETAILS'!AC602</f>
        <v>1</v>
      </c>
      <c r="U2" s="59"/>
      <c r="V2" s="60">
        <f>'STUDENT DETAILS'!AE602</f>
        <v>0</v>
      </c>
      <c r="W2" s="61">
        <f>'STUDENT DETAILS'!AF602</f>
        <v>1</v>
      </c>
      <c r="X2" s="37">
        <f>'STUDENT DETAILS'!AG602</f>
        <v>1</v>
      </c>
      <c r="Y2" s="59"/>
      <c r="Z2" s="60">
        <f>'STUDENT DETAILS'!AI602</f>
        <v>1</v>
      </c>
      <c r="AA2" s="61">
        <f>'STUDENT DETAILS'!AJ602</f>
        <v>0</v>
      </c>
      <c r="AB2" s="37">
        <f>'STUDENT DETAILS'!AK602</f>
        <v>1</v>
      </c>
      <c r="AC2" s="59"/>
      <c r="AD2" s="60">
        <f>'STUDENT DETAILS'!AM602</f>
        <v>0</v>
      </c>
      <c r="AE2" s="61">
        <f>'STUDENT DETAILS'!AN602</f>
        <v>1</v>
      </c>
      <c r="AF2" s="37">
        <f>'STUDENT DETAILS'!AO602</f>
        <v>1</v>
      </c>
      <c r="AG2" s="59"/>
      <c r="AH2" s="60">
        <f>'STUDENT DETAILS'!AQ602</f>
        <v>1</v>
      </c>
      <c r="AI2" s="61">
        <f>'STUDENT DETAILS'!AR602</f>
        <v>0</v>
      </c>
      <c r="AJ2" s="37">
        <f>'STUDENT DETAILS'!AS602</f>
        <v>1</v>
      </c>
      <c r="AK2" s="59"/>
      <c r="AL2" s="60">
        <f>'STUDENT DETAILS'!AU602</f>
        <v>0</v>
      </c>
      <c r="AM2" s="61">
        <f>'STUDENT DETAILS'!AV602</f>
        <v>1</v>
      </c>
      <c r="AN2" s="37">
        <f>'STUDENT DETAILS'!AW602</f>
        <v>1</v>
      </c>
      <c r="AO2" s="59"/>
      <c r="AP2" s="60">
        <f>'STUDENT DETAILS'!AY602</f>
        <v>1</v>
      </c>
      <c r="AQ2" s="61">
        <f>'STUDENT DETAILS'!AZ602</f>
        <v>0</v>
      </c>
      <c r="AR2" s="37">
        <f>'STUDENT DETAILS'!BA602</f>
        <v>1</v>
      </c>
      <c r="AS2" s="59"/>
      <c r="AT2" s="60">
        <f>'STUDENT DETAILS'!BC602</f>
        <v>1</v>
      </c>
      <c r="AU2" s="61">
        <f>'STUDENT DETAILS'!BD602</f>
        <v>0</v>
      </c>
      <c r="AV2" s="37">
        <f>'STUDENT DETAILS'!BE602</f>
        <v>1</v>
      </c>
      <c r="AW2" s="59"/>
      <c r="AX2" s="60">
        <f>'STUDENT DETAILS'!BG602</f>
        <v>0</v>
      </c>
      <c r="AY2" s="61">
        <f>'STUDENT DETAILS'!BH602</f>
        <v>1</v>
      </c>
      <c r="AZ2" s="37">
        <f>'STUDENT DETAILS'!BI602</f>
        <v>1</v>
      </c>
      <c r="BA2" s="59"/>
      <c r="BB2" s="60">
        <f>'STUDENT DETAILS'!BK602</f>
        <v>1</v>
      </c>
      <c r="BC2" s="61">
        <f>'STUDENT DETAILS'!BL602</f>
        <v>0</v>
      </c>
      <c r="BD2" s="37">
        <f>'STUDENT DETAILS'!BM602</f>
        <v>1</v>
      </c>
      <c r="BE2" s="59"/>
      <c r="BF2" s="60">
        <f>'STUDENT DETAILS'!BO602</f>
        <v>0</v>
      </c>
      <c r="BG2" s="61">
        <f>'STUDENT DETAILS'!BP602</f>
        <v>1</v>
      </c>
      <c r="BH2" s="37">
        <f>'STUDENT DETAILS'!BQ602</f>
        <v>1</v>
      </c>
      <c r="BI2" s="60">
        <f>'STUDENT DETAILS'!BR602</f>
        <v>6</v>
      </c>
      <c r="BJ2" s="61">
        <f>'STUDENT DETAILS'!BS602</f>
        <v>5</v>
      </c>
      <c r="BK2" s="37">
        <f>'STUDENT DETAILS'!BT602</f>
        <v>11</v>
      </c>
    </row>
    <row r="3" spans="1:63" ht="19.2" customHeight="1" x14ac:dyDescent="0.35">
      <c r="A3" s="55" t="s">
        <v>23</v>
      </c>
      <c r="B3" s="55"/>
      <c r="C3" s="108" t="s">
        <v>24</v>
      </c>
      <c r="D3" s="108"/>
      <c r="E3" s="108" t="s">
        <v>25</v>
      </c>
      <c r="F3" s="108"/>
      <c r="G3" s="108" t="s">
        <v>26</v>
      </c>
      <c r="H3" s="108"/>
    </row>
    <row r="4" spans="1:63" x14ac:dyDescent="0.3">
      <c r="A4" s="32"/>
      <c r="B4" s="32"/>
      <c r="C4" s="32"/>
      <c r="D4" s="32"/>
      <c r="E4" s="32"/>
      <c r="F4" s="32"/>
      <c r="G4" s="32"/>
      <c r="H4" s="32"/>
    </row>
    <row r="5" spans="1:63" x14ac:dyDescent="0.3">
      <c r="A5" s="56" t="s">
        <v>27</v>
      </c>
      <c r="B5" s="32"/>
      <c r="C5" s="106">
        <f>N2</f>
        <v>0</v>
      </c>
      <c r="D5" s="107"/>
      <c r="E5" s="104">
        <f>O2</f>
        <v>0</v>
      </c>
      <c r="F5" s="105"/>
      <c r="G5" s="102">
        <f>P2</f>
        <v>0</v>
      </c>
      <c r="H5" s="103"/>
    </row>
    <row r="6" spans="1:63" x14ac:dyDescent="0.3">
      <c r="A6" s="32"/>
      <c r="B6" s="32"/>
      <c r="C6" s="93"/>
      <c r="D6" s="32"/>
      <c r="E6" s="32"/>
      <c r="F6" s="32"/>
      <c r="G6" s="32"/>
      <c r="H6" s="32"/>
    </row>
    <row r="7" spans="1:63" x14ac:dyDescent="0.3">
      <c r="A7" s="56" t="s">
        <v>28</v>
      </c>
      <c r="B7" s="32"/>
      <c r="C7" s="106">
        <f>R2</f>
        <v>1</v>
      </c>
      <c r="D7" s="107"/>
      <c r="E7" s="104">
        <f>S2</f>
        <v>0</v>
      </c>
      <c r="F7" s="105"/>
      <c r="G7" s="102">
        <f>T2</f>
        <v>1</v>
      </c>
      <c r="H7" s="103"/>
    </row>
    <row r="8" spans="1:63" x14ac:dyDescent="0.3">
      <c r="A8" s="32"/>
      <c r="B8" s="32"/>
      <c r="C8" s="32"/>
      <c r="D8" s="32"/>
      <c r="E8" s="32"/>
      <c r="F8" s="32"/>
      <c r="G8" s="32"/>
      <c r="H8" s="32"/>
    </row>
    <row r="9" spans="1:63" x14ac:dyDescent="0.3">
      <c r="A9" s="56" t="s">
        <v>29</v>
      </c>
      <c r="B9" s="32"/>
      <c r="C9" s="106">
        <f>V2</f>
        <v>0</v>
      </c>
      <c r="D9" s="107"/>
      <c r="E9" s="104">
        <f>W2</f>
        <v>1</v>
      </c>
      <c r="F9" s="105"/>
      <c r="G9" s="102">
        <f>X2</f>
        <v>1</v>
      </c>
      <c r="H9" s="103"/>
    </row>
    <row r="10" spans="1:63" x14ac:dyDescent="0.3">
      <c r="A10" s="32"/>
      <c r="B10" s="32"/>
      <c r="C10" s="32"/>
      <c r="D10" s="32"/>
      <c r="E10" s="32"/>
      <c r="F10" s="32"/>
      <c r="G10" s="32"/>
      <c r="H10" s="32"/>
    </row>
    <row r="11" spans="1:63" x14ac:dyDescent="0.3">
      <c r="A11" s="56" t="s">
        <v>30</v>
      </c>
      <c r="B11" s="32"/>
      <c r="C11" s="106">
        <f>Z2</f>
        <v>1</v>
      </c>
      <c r="D11" s="107"/>
      <c r="E11" s="104">
        <f>AA2</f>
        <v>0</v>
      </c>
      <c r="F11" s="105"/>
      <c r="G11" s="102">
        <f>AB2</f>
        <v>1</v>
      </c>
      <c r="H11" s="103"/>
    </row>
    <row r="12" spans="1:63" x14ac:dyDescent="0.3">
      <c r="A12" s="32"/>
      <c r="B12" s="32"/>
      <c r="C12" s="32"/>
      <c r="D12" s="32"/>
      <c r="E12" s="32"/>
      <c r="F12" s="32"/>
      <c r="G12" s="32"/>
      <c r="H12" s="32"/>
    </row>
    <row r="13" spans="1:63" x14ac:dyDescent="0.3">
      <c r="A13" s="56" t="s">
        <v>31</v>
      </c>
      <c r="B13" s="32"/>
      <c r="C13" s="106">
        <f>AD2</f>
        <v>0</v>
      </c>
      <c r="D13" s="107"/>
      <c r="E13" s="104">
        <f>AE2</f>
        <v>1</v>
      </c>
      <c r="F13" s="105"/>
      <c r="G13" s="102">
        <f>AF2</f>
        <v>1</v>
      </c>
      <c r="H13" s="103"/>
    </row>
    <row r="14" spans="1:63" x14ac:dyDescent="0.3">
      <c r="A14" s="32"/>
      <c r="B14" s="32"/>
      <c r="C14" s="32"/>
      <c r="D14" s="32"/>
      <c r="E14" s="32"/>
      <c r="F14" s="32"/>
      <c r="G14" s="32"/>
      <c r="H14" s="32"/>
    </row>
    <row r="15" spans="1:63" x14ac:dyDescent="0.3">
      <c r="A15" s="56" t="s">
        <v>32</v>
      </c>
      <c r="B15" s="32"/>
      <c r="C15" s="106">
        <f>AH2</f>
        <v>1</v>
      </c>
      <c r="D15" s="107"/>
      <c r="E15" s="104">
        <f>AI2</f>
        <v>0</v>
      </c>
      <c r="F15" s="105"/>
      <c r="G15" s="102">
        <f>AJ2</f>
        <v>1</v>
      </c>
      <c r="H15" s="103"/>
    </row>
    <row r="16" spans="1:63" x14ac:dyDescent="0.3">
      <c r="A16" s="32"/>
      <c r="B16" s="32"/>
      <c r="C16" s="32"/>
      <c r="D16" s="32"/>
      <c r="E16" s="32"/>
      <c r="F16" s="32"/>
      <c r="G16" s="32"/>
      <c r="H16" s="32"/>
    </row>
    <row r="17" spans="1:8" x14ac:dyDescent="0.3">
      <c r="A17" s="56" t="s">
        <v>33</v>
      </c>
      <c r="B17" s="32"/>
      <c r="C17" s="106">
        <f>AL2</f>
        <v>0</v>
      </c>
      <c r="D17" s="107"/>
      <c r="E17" s="104">
        <f>AE2</f>
        <v>1</v>
      </c>
      <c r="F17" s="105"/>
      <c r="G17" s="102">
        <f>AN2</f>
        <v>1</v>
      </c>
      <c r="H17" s="103"/>
    </row>
    <row r="18" spans="1:8" x14ac:dyDescent="0.3">
      <c r="A18" s="32"/>
      <c r="B18" s="32"/>
      <c r="C18" s="32"/>
      <c r="D18" s="32"/>
      <c r="E18" s="32"/>
      <c r="F18" s="32"/>
      <c r="G18" s="32"/>
      <c r="H18" s="32"/>
    </row>
    <row r="19" spans="1:8" x14ac:dyDescent="0.3">
      <c r="A19" s="56" t="s">
        <v>34</v>
      </c>
      <c r="B19" s="32"/>
      <c r="C19" s="106">
        <f>AP2</f>
        <v>1</v>
      </c>
      <c r="D19" s="107"/>
      <c r="E19" s="104">
        <f>AQ2</f>
        <v>0</v>
      </c>
      <c r="F19" s="105"/>
      <c r="G19" s="102">
        <f>AR2</f>
        <v>1</v>
      </c>
      <c r="H19" s="103"/>
    </row>
    <row r="20" spans="1:8" x14ac:dyDescent="0.3">
      <c r="A20" s="32"/>
      <c r="B20" s="32"/>
      <c r="C20" s="32"/>
      <c r="D20" s="32"/>
      <c r="E20" s="32"/>
      <c r="F20" s="32"/>
      <c r="G20" s="32"/>
      <c r="H20" s="32"/>
    </row>
    <row r="21" spans="1:8" x14ac:dyDescent="0.3">
      <c r="A21" s="56" t="s">
        <v>35</v>
      </c>
      <c r="B21" s="32"/>
      <c r="C21" s="106">
        <f>AT2</f>
        <v>1</v>
      </c>
      <c r="D21" s="107"/>
      <c r="E21" s="104">
        <f>AU2</f>
        <v>0</v>
      </c>
      <c r="F21" s="105"/>
      <c r="G21" s="102">
        <f>AV2</f>
        <v>1</v>
      </c>
      <c r="H21" s="103"/>
    </row>
    <row r="22" spans="1:8" x14ac:dyDescent="0.3">
      <c r="A22" s="32"/>
      <c r="B22" s="32"/>
      <c r="C22" s="32"/>
      <c r="D22" s="32"/>
      <c r="E22" s="32"/>
      <c r="F22" s="32"/>
      <c r="G22" s="32"/>
      <c r="H22" s="32"/>
    </row>
    <row r="23" spans="1:8" x14ac:dyDescent="0.3">
      <c r="A23" s="56" t="s">
        <v>36</v>
      </c>
      <c r="B23" s="32"/>
      <c r="C23" s="106">
        <f>AX2</f>
        <v>0</v>
      </c>
      <c r="D23" s="107"/>
      <c r="E23" s="104">
        <f>AY2</f>
        <v>1</v>
      </c>
      <c r="F23" s="105"/>
      <c r="G23" s="102">
        <f>AZ2</f>
        <v>1</v>
      </c>
      <c r="H23" s="103"/>
    </row>
    <row r="24" spans="1:8" x14ac:dyDescent="0.3">
      <c r="A24" s="32"/>
      <c r="B24" s="32"/>
      <c r="C24" s="32"/>
      <c r="D24" s="32"/>
      <c r="E24" s="32"/>
      <c r="F24" s="32"/>
      <c r="G24" s="32"/>
      <c r="H24" s="32"/>
    </row>
    <row r="25" spans="1:8" x14ac:dyDescent="0.3">
      <c r="A25" s="56" t="s">
        <v>37</v>
      </c>
      <c r="B25" s="32"/>
      <c r="C25" s="106">
        <f>BB2</f>
        <v>1</v>
      </c>
      <c r="D25" s="107"/>
      <c r="E25" s="104">
        <f>BC2</f>
        <v>0</v>
      </c>
      <c r="F25" s="105"/>
      <c r="G25" s="102">
        <f>BD2</f>
        <v>1</v>
      </c>
      <c r="H25" s="103"/>
    </row>
    <row r="26" spans="1:8" x14ac:dyDescent="0.3">
      <c r="A26" s="32"/>
      <c r="B26" s="32"/>
      <c r="C26" s="32"/>
      <c r="D26" s="32"/>
      <c r="E26" s="32"/>
      <c r="F26" s="32"/>
      <c r="G26" s="32"/>
      <c r="H26" s="32"/>
    </row>
    <row r="27" spans="1:8" x14ac:dyDescent="0.3">
      <c r="A27" s="56" t="s">
        <v>38</v>
      </c>
      <c r="B27" s="32"/>
      <c r="C27" s="106">
        <f>BF2</f>
        <v>0</v>
      </c>
      <c r="D27" s="107"/>
      <c r="E27" s="104">
        <f>BG2</f>
        <v>1</v>
      </c>
      <c r="F27" s="105"/>
      <c r="G27" s="102">
        <f>BH2</f>
        <v>1</v>
      </c>
      <c r="H27" s="103"/>
    </row>
    <row r="29" spans="1:8" x14ac:dyDescent="0.3">
      <c r="A29" s="57" t="s">
        <v>26</v>
      </c>
      <c r="C29" s="101">
        <f>BI2</f>
        <v>6</v>
      </c>
      <c r="D29" s="101"/>
      <c r="E29" s="100">
        <f>BJ2</f>
        <v>5</v>
      </c>
      <c r="F29" s="100"/>
      <c r="G29" s="99">
        <f>BK2</f>
        <v>11</v>
      </c>
      <c r="H29" s="99"/>
    </row>
  </sheetData>
  <mergeCells count="42">
    <mergeCell ref="C3:D3"/>
    <mergeCell ref="E3:F3"/>
    <mergeCell ref="G3:H3"/>
    <mergeCell ref="C5:D5"/>
    <mergeCell ref="C7:D7"/>
    <mergeCell ref="E5:F5"/>
    <mergeCell ref="G5:H5"/>
    <mergeCell ref="C27:D27"/>
    <mergeCell ref="C9:D9"/>
    <mergeCell ref="C11:D11"/>
    <mergeCell ref="C13:D13"/>
    <mergeCell ref="C15:D15"/>
    <mergeCell ref="C17:D17"/>
    <mergeCell ref="G25:H25"/>
    <mergeCell ref="G19:H19"/>
    <mergeCell ref="G21:H21"/>
    <mergeCell ref="C19:D19"/>
    <mergeCell ref="C21:D21"/>
    <mergeCell ref="C23:D23"/>
    <mergeCell ref="C25:D25"/>
    <mergeCell ref="G9:H9"/>
    <mergeCell ref="G7:H7"/>
    <mergeCell ref="E7:F7"/>
    <mergeCell ref="E9:F9"/>
    <mergeCell ref="E11:F11"/>
    <mergeCell ref="G11:H11"/>
    <mergeCell ref="G29:H29"/>
    <mergeCell ref="E29:F29"/>
    <mergeCell ref="C29:D29"/>
    <mergeCell ref="G13:H13"/>
    <mergeCell ref="E13:F13"/>
    <mergeCell ref="E15:F15"/>
    <mergeCell ref="G15:H15"/>
    <mergeCell ref="G17:H17"/>
    <mergeCell ref="E17:F17"/>
    <mergeCell ref="E27:F27"/>
    <mergeCell ref="G27:H27"/>
    <mergeCell ref="E25:F25"/>
    <mergeCell ref="E19:F19"/>
    <mergeCell ref="E21:F21"/>
    <mergeCell ref="G23:H23"/>
    <mergeCell ref="E23:F2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FF93C-441A-44F6-A8FE-1866BC847DD4}">
  <sheetPr codeName="Sheet6"/>
  <dimension ref="A1:GX203"/>
  <sheetViews>
    <sheetView tabSelected="1" topLeftCell="J1" workbookViewId="0">
      <selection activeCell="K14" sqref="K14"/>
    </sheetView>
  </sheetViews>
  <sheetFormatPr defaultRowHeight="14.4" x14ac:dyDescent="0.3"/>
  <cols>
    <col min="2" max="2" width="14.77734375" customWidth="1"/>
    <col min="3" max="3" width="12.5546875" customWidth="1"/>
    <col min="4" max="4" width="12" customWidth="1"/>
    <col min="5" max="5" width="10.5546875" customWidth="1"/>
    <col min="6" max="6" width="19.44140625" customWidth="1"/>
    <col min="7" max="7" width="12.5546875" customWidth="1"/>
    <col min="8" max="8" width="12.21875" customWidth="1"/>
    <col min="9" max="9" width="33.44140625" customWidth="1"/>
    <col min="10" max="10" width="15" customWidth="1"/>
    <col min="23" max="23" width="12.33203125" customWidth="1"/>
    <col min="24" max="24" width="13.21875" customWidth="1"/>
    <col min="26" max="26" width="19.44140625" customWidth="1"/>
    <col min="27" max="27" width="11.33203125" customWidth="1"/>
    <col min="28" max="28" width="14.88671875" customWidth="1"/>
    <col min="29" max="29" width="35.5546875" customWidth="1"/>
    <col min="30" max="30" width="15.5546875" customWidth="1"/>
    <col min="34" max="34" width="12.33203125" customWidth="1"/>
    <col min="35" max="35" width="13.21875" customWidth="1"/>
    <col min="37" max="37" width="19.44140625" customWidth="1"/>
    <col min="38" max="38" width="11.33203125" customWidth="1"/>
    <col min="39" max="39" width="14.88671875" customWidth="1"/>
    <col min="40" max="40" width="35.5546875" customWidth="1"/>
    <col min="41" max="41" width="15.5546875" customWidth="1"/>
    <col min="45" max="45" width="12.33203125" customWidth="1"/>
    <col min="46" max="46" width="13.21875" customWidth="1"/>
    <col min="48" max="48" width="19.44140625" customWidth="1"/>
    <col min="49" max="49" width="11.33203125" customWidth="1"/>
    <col min="50" max="50" width="14.88671875" customWidth="1"/>
    <col min="51" max="51" width="35.5546875" customWidth="1"/>
    <col min="52" max="52" width="15.5546875" customWidth="1"/>
    <col min="56" max="56" width="12.33203125" customWidth="1"/>
    <col min="57" max="57" width="13.21875" customWidth="1"/>
    <col min="59" max="59" width="19.44140625" customWidth="1"/>
    <col min="60" max="60" width="11.33203125" customWidth="1"/>
    <col min="61" max="61" width="14.88671875" customWidth="1"/>
    <col min="62" max="62" width="35.5546875" customWidth="1"/>
    <col min="63" max="63" width="15.5546875" customWidth="1"/>
    <col min="67" max="67" width="12.33203125" customWidth="1"/>
    <col min="68" max="68" width="13.21875" customWidth="1"/>
    <col min="70" max="70" width="19.44140625" customWidth="1"/>
    <col min="71" max="71" width="11.33203125" customWidth="1"/>
    <col min="72" max="72" width="14.88671875" customWidth="1"/>
    <col min="73" max="73" width="35.5546875" customWidth="1"/>
    <col min="74" max="74" width="15.5546875" customWidth="1"/>
    <col min="78" max="78" width="12.33203125" customWidth="1"/>
    <col min="79" max="79" width="13.21875" customWidth="1"/>
    <col min="81" max="81" width="19.44140625" customWidth="1"/>
    <col min="82" max="82" width="11.33203125" customWidth="1"/>
    <col min="83" max="83" width="14.88671875" customWidth="1"/>
    <col min="84" max="84" width="35.5546875" customWidth="1"/>
    <col min="85" max="85" width="15.5546875" customWidth="1"/>
    <col min="89" max="89" width="12.33203125" customWidth="1"/>
    <col min="90" max="90" width="13.21875" customWidth="1"/>
    <col min="92" max="92" width="19.44140625" customWidth="1"/>
    <col min="93" max="93" width="11.33203125" customWidth="1"/>
    <col min="94" max="94" width="14.88671875" customWidth="1"/>
    <col min="95" max="95" width="35.5546875" customWidth="1"/>
    <col min="96" max="96" width="15.5546875" customWidth="1"/>
    <col min="100" max="100" width="12.33203125" customWidth="1"/>
    <col min="101" max="101" width="13.21875" customWidth="1"/>
    <col min="103" max="103" width="19.44140625" customWidth="1"/>
    <col min="104" max="104" width="11.33203125" customWidth="1"/>
    <col min="105" max="105" width="14.88671875" customWidth="1"/>
    <col min="106" max="106" width="35.5546875" customWidth="1"/>
    <col min="107" max="107" width="15.5546875" customWidth="1"/>
    <col min="111" max="111" width="12.33203125" customWidth="1"/>
    <col min="112" max="112" width="13.21875" customWidth="1"/>
    <col min="114" max="114" width="19.44140625" customWidth="1"/>
    <col min="115" max="115" width="11.33203125" customWidth="1"/>
    <col min="116" max="116" width="14.88671875" customWidth="1"/>
    <col min="117" max="117" width="35.5546875" customWidth="1"/>
    <col min="118" max="118" width="15.5546875" customWidth="1"/>
    <col min="122" max="122" width="12.33203125" customWidth="1"/>
    <col min="123" max="123" width="13.21875" customWidth="1"/>
    <col min="125" max="125" width="19.44140625" customWidth="1"/>
    <col min="126" max="126" width="11.33203125" customWidth="1"/>
    <col min="127" max="127" width="14.88671875" customWidth="1"/>
    <col min="128" max="128" width="35.5546875" customWidth="1"/>
    <col min="129" max="129" width="15.5546875" customWidth="1"/>
    <col min="133" max="133" width="12.33203125" customWidth="1"/>
    <col min="134" max="134" width="13.21875" customWidth="1"/>
    <col min="136" max="136" width="19.44140625" customWidth="1"/>
    <col min="137" max="137" width="11.33203125" customWidth="1"/>
    <col min="138" max="138" width="14.88671875" customWidth="1"/>
    <col min="139" max="139" width="35.5546875" customWidth="1"/>
    <col min="140" max="140" width="15.5546875" customWidth="1"/>
    <col min="144" max="144" width="12.33203125" customWidth="1"/>
    <col min="145" max="145" width="13.21875" customWidth="1"/>
    <col min="147" max="147" width="19.44140625" customWidth="1"/>
    <col min="148" max="148" width="11.33203125" customWidth="1"/>
    <col min="149" max="149" width="14.88671875" customWidth="1"/>
    <col min="150" max="150" width="35.5546875" customWidth="1"/>
    <col min="151" max="151" width="15.5546875" customWidth="1"/>
    <col min="155" max="155" width="12.33203125" customWidth="1"/>
    <col min="156" max="156" width="13.21875" customWidth="1"/>
    <col min="158" max="158" width="19.44140625" customWidth="1"/>
    <col min="159" max="159" width="11.33203125" customWidth="1"/>
    <col min="160" max="160" width="14.88671875" customWidth="1"/>
    <col min="161" max="161" width="35.5546875" customWidth="1"/>
    <col min="162" max="162" width="15.5546875" customWidth="1"/>
    <col min="166" max="166" width="12.33203125" customWidth="1"/>
    <col min="167" max="167" width="13.21875" customWidth="1"/>
    <col min="169" max="169" width="19.44140625" customWidth="1"/>
    <col min="170" max="170" width="11.33203125" customWidth="1"/>
    <col min="171" max="171" width="14.88671875" customWidth="1"/>
    <col min="172" max="172" width="35.5546875" customWidth="1"/>
    <col min="173" max="173" width="15.5546875" customWidth="1"/>
    <col min="177" max="177" width="12.33203125" customWidth="1"/>
    <col min="178" max="178" width="13.21875" customWidth="1"/>
    <col min="180" max="180" width="19.44140625" customWidth="1"/>
    <col min="181" max="181" width="11.33203125" customWidth="1"/>
    <col min="182" max="182" width="14.88671875" customWidth="1"/>
    <col min="183" max="183" width="35.5546875" customWidth="1"/>
    <col min="184" max="184" width="15.5546875" customWidth="1"/>
    <col min="188" max="188" width="12.33203125" customWidth="1"/>
    <col min="189" max="189" width="13.21875" customWidth="1"/>
    <col min="191" max="191" width="19.44140625" customWidth="1"/>
    <col min="192" max="192" width="11.33203125" customWidth="1"/>
    <col min="193" max="193" width="14.88671875" customWidth="1"/>
    <col min="194" max="194" width="35.5546875" customWidth="1"/>
    <col min="195" max="195" width="15.5546875" customWidth="1"/>
    <col min="199" max="199" width="12.33203125" customWidth="1"/>
    <col min="200" max="200" width="13.21875" customWidth="1"/>
    <col min="202" max="202" width="19.44140625" customWidth="1"/>
    <col min="203" max="203" width="11.33203125" customWidth="1"/>
    <col min="204" max="204" width="14.88671875" customWidth="1"/>
    <col min="205" max="205" width="35.5546875" customWidth="1"/>
    <col min="206" max="206" width="15.5546875" customWidth="1"/>
  </cols>
  <sheetData>
    <row r="1" spans="1:206" ht="17.399999999999999" x14ac:dyDescent="0.45">
      <c r="A1" s="63" t="s">
        <v>42</v>
      </c>
      <c r="B1" s="63" t="s">
        <v>6</v>
      </c>
      <c r="C1" s="63" t="s">
        <v>43</v>
      </c>
      <c r="D1" s="63" t="s">
        <v>8</v>
      </c>
      <c r="E1" s="63" t="s">
        <v>14</v>
      </c>
      <c r="F1" s="63" t="s">
        <v>44</v>
      </c>
      <c r="G1" s="63" t="s">
        <v>45</v>
      </c>
      <c r="H1" s="63" t="s">
        <v>16</v>
      </c>
      <c r="I1" s="63" t="s">
        <v>46</v>
      </c>
      <c r="J1" s="62" t="s">
        <v>47</v>
      </c>
      <c r="N1" s="64" t="s">
        <v>24</v>
      </c>
      <c r="O1" s="64" t="s">
        <v>25</v>
      </c>
      <c r="P1" s="64" t="s">
        <v>26</v>
      </c>
      <c r="U1" s="63" t="s">
        <v>42</v>
      </c>
      <c r="V1" s="63" t="s">
        <v>6</v>
      </c>
      <c r="W1" s="63" t="s">
        <v>43</v>
      </c>
      <c r="X1" s="63" t="s">
        <v>8</v>
      </c>
      <c r="Y1" s="63" t="s">
        <v>14</v>
      </c>
      <c r="Z1" s="63" t="s">
        <v>44</v>
      </c>
      <c r="AA1" s="63" t="s">
        <v>45</v>
      </c>
      <c r="AB1" s="63" t="s">
        <v>16</v>
      </c>
      <c r="AC1" s="63" t="s">
        <v>46</v>
      </c>
      <c r="AD1" s="62" t="s">
        <v>47</v>
      </c>
      <c r="AF1" s="63" t="s">
        <v>42</v>
      </c>
      <c r="AG1" s="63" t="s">
        <v>6</v>
      </c>
      <c r="AH1" s="63" t="s">
        <v>43</v>
      </c>
      <c r="AI1" s="63" t="s">
        <v>8</v>
      </c>
      <c r="AJ1" s="63" t="s">
        <v>14</v>
      </c>
      <c r="AK1" s="63" t="s">
        <v>44</v>
      </c>
      <c r="AL1" s="63" t="s">
        <v>45</v>
      </c>
      <c r="AM1" s="63" t="s">
        <v>16</v>
      </c>
      <c r="AN1" s="63" t="s">
        <v>46</v>
      </c>
      <c r="AO1" s="62" t="s">
        <v>47</v>
      </c>
      <c r="AQ1" s="63" t="s">
        <v>42</v>
      </c>
      <c r="AR1" s="63" t="s">
        <v>6</v>
      </c>
      <c r="AS1" s="63" t="s">
        <v>43</v>
      </c>
      <c r="AT1" s="63" t="s">
        <v>8</v>
      </c>
      <c r="AU1" s="63" t="s">
        <v>14</v>
      </c>
      <c r="AV1" s="63" t="s">
        <v>44</v>
      </c>
      <c r="AW1" s="63" t="s">
        <v>45</v>
      </c>
      <c r="AX1" s="63" t="s">
        <v>16</v>
      </c>
      <c r="AY1" s="63" t="s">
        <v>46</v>
      </c>
      <c r="AZ1" s="62" t="s">
        <v>47</v>
      </c>
      <c r="BB1" s="63" t="s">
        <v>42</v>
      </c>
      <c r="BC1" s="63" t="s">
        <v>6</v>
      </c>
      <c r="BD1" s="63" t="s">
        <v>43</v>
      </c>
      <c r="BE1" s="63" t="s">
        <v>8</v>
      </c>
      <c r="BF1" s="63" t="s">
        <v>14</v>
      </c>
      <c r="BG1" s="63" t="s">
        <v>44</v>
      </c>
      <c r="BH1" s="63" t="s">
        <v>45</v>
      </c>
      <c r="BI1" s="63" t="s">
        <v>16</v>
      </c>
      <c r="BJ1" s="63" t="s">
        <v>46</v>
      </c>
      <c r="BK1" s="62" t="s">
        <v>47</v>
      </c>
      <c r="BM1" s="63" t="s">
        <v>42</v>
      </c>
      <c r="BN1" s="63" t="s">
        <v>6</v>
      </c>
      <c r="BO1" s="63" t="s">
        <v>43</v>
      </c>
      <c r="BP1" s="63" t="s">
        <v>8</v>
      </c>
      <c r="BQ1" s="63" t="s">
        <v>14</v>
      </c>
      <c r="BR1" s="63" t="s">
        <v>44</v>
      </c>
      <c r="BS1" s="63" t="s">
        <v>45</v>
      </c>
      <c r="BT1" s="63" t="s">
        <v>16</v>
      </c>
      <c r="BU1" s="63" t="s">
        <v>46</v>
      </c>
      <c r="BV1" s="62" t="s">
        <v>47</v>
      </c>
      <c r="BX1" s="63" t="s">
        <v>42</v>
      </c>
      <c r="BY1" s="63" t="s">
        <v>6</v>
      </c>
      <c r="BZ1" s="63" t="s">
        <v>43</v>
      </c>
      <c r="CA1" s="63" t="s">
        <v>8</v>
      </c>
      <c r="CB1" s="63" t="s">
        <v>14</v>
      </c>
      <c r="CC1" s="63" t="s">
        <v>44</v>
      </c>
      <c r="CD1" s="63" t="s">
        <v>45</v>
      </c>
      <c r="CE1" s="63" t="s">
        <v>16</v>
      </c>
      <c r="CF1" s="63" t="s">
        <v>46</v>
      </c>
      <c r="CG1" s="62" t="s">
        <v>47</v>
      </c>
      <c r="CI1" s="63" t="s">
        <v>42</v>
      </c>
      <c r="CJ1" s="63" t="s">
        <v>6</v>
      </c>
      <c r="CK1" s="63" t="s">
        <v>43</v>
      </c>
      <c r="CL1" s="63" t="s">
        <v>8</v>
      </c>
      <c r="CM1" s="63" t="s">
        <v>14</v>
      </c>
      <c r="CN1" s="63" t="s">
        <v>44</v>
      </c>
      <c r="CO1" s="63" t="s">
        <v>45</v>
      </c>
      <c r="CP1" s="63" t="s">
        <v>16</v>
      </c>
      <c r="CQ1" s="63" t="s">
        <v>46</v>
      </c>
      <c r="CR1" s="62" t="s">
        <v>47</v>
      </c>
      <c r="CT1" s="63" t="s">
        <v>42</v>
      </c>
      <c r="CU1" s="63" t="s">
        <v>6</v>
      </c>
      <c r="CV1" s="63" t="s">
        <v>43</v>
      </c>
      <c r="CW1" s="63" t="s">
        <v>8</v>
      </c>
      <c r="CX1" s="63" t="s">
        <v>14</v>
      </c>
      <c r="CY1" s="63" t="s">
        <v>44</v>
      </c>
      <c r="CZ1" s="63" t="s">
        <v>45</v>
      </c>
      <c r="DA1" s="63" t="s">
        <v>16</v>
      </c>
      <c r="DB1" s="63" t="s">
        <v>46</v>
      </c>
      <c r="DC1" s="62" t="s">
        <v>47</v>
      </c>
      <c r="DE1" s="63" t="s">
        <v>42</v>
      </c>
      <c r="DF1" s="63" t="s">
        <v>6</v>
      </c>
      <c r="DG1" s="63" t="s">
        <v>43</v>
      </c>
      <c r="DH1" s="63" t="s">
        <v>8</v>
      </c>
      <c r="DI1" s="63" t="s">
        <v>14</v>
      </c>
      <c r="DJ1" s="63" t="s">
        <v>44</v>
      </c>
      <c r="DK1" s="63" t="s">
        <v>45</v>
      </c>
      <c r="DL1" s="63" t="s">
        <v>16</v>
      </c>
      <c r="DM1" s="63" t="s">
        <v>46</v>
      </c>
      <c r="DN1" s="62" t="s">
        <v>47</v>
      </c>
      <c r="DP1" s="63" t="s">
        <v>42</v>
      </c>
      <c r="DQ1" s="63" t="s">
        <v>6</v>
      </c>
      <c r="DR1" s="63" t="s">
        <v>43</v>
      </c>
      <c r="DS1" s="63" t="s">
        <v>8</v>
      </c>
      <c r="DT1" s="63" t="s">
        <v>14</v>
      </c>
      <c r="DU1" s="63" t="s">
        <v>44</v>
      </c>
      <c r="DV1" s="63" t="s">
        <v>45</v>
      </c>
      <c r="DW1" s="63" t="s">
        <v>16</v>
      </c>
      <c r="DX1" s="63" t="s">
        <v>46</v>
      </c>
      <c r="DY1" s="62" t="s">
        <v>47</v>
      </c>
      <c r="EA1" s="63" t="s">
        <v>42</v>
      </c>
      <c r="EB1" s="63" t="s">
        <v>6</v>
      </c>
      <c r="EC1" s="63" t="s">
        <v>43</v>
      </c>
      <c r="ED1" s="63" t="s">
        <v>8</v>
      </c>
      <c r="EE1" s="63" t="s">
        <v>14</v>
      </c>
      <c r="EF1" s="63" t="s">
        <v>44</v>
      </c>
      <c r="EG1" s="63" t="s">
        <v>45</v>
      </c>
      <c r="EH1" s="63" t="s">
        <v>16</v>
      </c>
      <c r="EI1" s="63" t="s">
        <v>46</v>
      </c>
      <c r="EJ1" s="62" t="s">
        <v>47</v>
      </c>
      <c r="EL1" s="63" t="s">
        <v>42</v>
      </c>
      <c r="EM1" s="63" t="s">
        <v>6</v>
      </c>
      <c r="EN1" s="63" t="s">
        <v>43</v>
      </c>
      <c r="EO1" s="63" t="s">
        <v>8</v>
      </c>
      <c r="EP1" s="63" t="s">
        <v>14</v>
      </c>
      <c r="EQ1" s="63" t="s">
        <v>44</v>
      </c>
      <c r="ER1" s="63" t="s">
        <v>45</v>
      </c>
      <c r="ES1" s="63" t="s">
        <v>16</v>
      </c>
      <c r="ET1" s="63" t="s">
        <v>46</v>
      </c>
      <c r="EU1" s="62" t="s">
        <v>47</v>
      </c>
      <c r="EW1" s="63" t="s">
        <v>42</v>
      </c>
      <c r="EX1" s="63" t="s">
        <v>6</v>
      </c>
      <c r="EY1" s="63" t="s">
        <v>43</v>
      </c>
      <c r="EZ1" s="63" t="s">
        <v>8</v>
      </c>
      <c r="FA1" s="63" t="s">
        <v>14</v>
      </c>
      <c r="FB1" s="63" t="s">
        <v>44</v>
      </c>
      <c r="FC1" s="63" t="s">
        <v>45</v>
      </c>
      <c r="FD1" s="63" t="s">
        <v>16</v>
      </c>
      <c r="FE1" s="63" t="s">
        <v>46</v>
      </c>
      <c r="FF1" s="62" t="s">
        <v>47</v>
      </c>
      <c r="FH1" s="63" t="s">
        <v>42</v>
      </c>
      <c r="FI1" s="63" t="s">
        <v>6</v>
      </c>
      <c r="FJ1" s="63" t="s">
        <v>43</v>
      </c>
      <c r="FK1" s="63" t="s">
        <v>8</v>
      </c>
      <c r="FL1" s="63" t="s">
        <v>14</v>
      </c>
      <c r="FM1" s="63" t="s">
        <v>44</v>
      </c>
      <c r="FN1" s="63" t="s">
        <v>45</v>
      </c>
      <c r="FO1" s="63" t="s">
        <v>16</v>
      </c>
      <c r="FP1" s="63" t="s">
        <v>46</v>
      </c>
      <c r="FQ1" s="62" t="s">
        <v>47</v>
      </c>
      <c r="FS1" s="63" t="s">
        <v>42</v>
      </c>
      <c r="FT1" s="63" t="s">
        <v>6</v>
      </c>
      <c r="FU1" s="63" t="s">
        <v>43</v>
      </c>
      <c r="FV1" s="63" t="s">
        <v>8</v>
      </c>
      <c r="FW1" s="63" t="s">
        <v>14</v>
      </c>
      <c r="FX1" s="63" t="s">
        <v>44</v>
      </c>
      <c r="FY1" s="63" t="s">
        <v>45</v>
      </c>
      <c r="FZ1" s="63" t="s">
        <v>16</v>
      </c>
      <c r="GA1" s="63" t="s">
        <v>46</v>
      </c>
      <c r="GB1" s="62" t="s">
        <v>47</v>
      </c>
      <c r="GD1" s="63" t="s">
        <v>42</v>
      </c>
      <c r="GE1" s="63" t="s">
        <v>6</v>
      </c>
      <c r="GF1" s="63" t="s">
        <v>43</v>
      </c>
      <c r="GG1" s="63" t="s">
        <v>8</v>
      </c>
      <c r="GH1" s="63" t="s">
        <v>14</v>
      </c>
      <c r="GI1" s="63" t="s">
        <v>44</v>
      </c>
      <c r="GJ1" s="63" t="s">
        <v>45</v>
      </c>
      <c r="GK1" s="63" t="s">
        <v>16</v>
      </c>
      <c r="GL1" s="63" t="s">
        <v>46</v>
      </c>
      <c r="GM1" s="62" t="s">
        <v>47</v>
      </c>
      <c r="GO1" s="63" t="s">
        <v>42</v>
      </c>
      <c r="GP1" s="63" t="s">
        <v>6</v>
      </c>
      <c r="GQ1" s="63" t="s">
        <v>43</v>
      </c>
      <c r="GR1" s="63" t="s">
        <v>8</v>
      </c>
      <c r="GS1" s="63" t="s">
        <v>14</v>
      </c>
      <c r="GT1" s="63" t="s">
        <v>44</v>
      </c>
      <c r="GU1" s="63" t="s">
        <v>45</v>
      </c>
      <c r="GV1" s="63" t="s">
        <v>16</v>
      </c>
      <c r="GW1" s="63" t="s">
        <v>46</v>
      </c>
      <c r="GX1" s="62" t="s">
        <v>47</v>
      </c>
    </row>
    <row r="2" spans="1:206" x14ac:dyDescent="0.3">
      <c r="A2" s="32">
        <f>'Teacher Details'!A2</f>
        <v>1</v>
      </c>
      <c r="B2" s="32" t="str">
        <f>'Teacher Details'!B2</f>
        <v>SHEETAL</v>
      </c>
      <c r="C2" s="95"/>
      <c r="D2" s="32"/>
      <c r="E2" s="32"/>
      <c r="F2" s="32"/>
      <c r="G2" s="32"/>
      <c r="H2" s="32"/>
      <c r="I2" s="32"/>
      <c r="J2" s="32"/>
      <c r="N2" s="32"/>
      <c r="O2" s="32"/>
      <c r="P2" s="32"/>
    </row>
    <row r="3" spans="1:206" x14ac:dyDescent="0.3">
      <c r="A3" s="32">
        <f>'Teacher Details'!A3</f>
        <v>2</v>
      </c>
      <c r="B3" s="32">
        <f>'Teacher Details'!B3</f>
        <v>0</v>
      </c>
      <c r="C3" s="95"/>
      <c r="D3" s="32"/>
      <c r="E3" s="32"/>
      <c r="F3" s="32"/>
      <c r="G3" s="32"/>
      <c r="H3" s="32"/>
      <c r="I3" s="32"/>
      <c r="J3" s="32"/>
      <c r="N3" s="32"/>
      <c r="O3" s="32"/>
      <c r="P3" s="32"/>
    </row>
    <row r="4" spans="1:206" x14ac:dyDescent="0.3">
      <c r="A4" s="32">
        <f>'Teacher Details'!A4</f>
        <v>0</v>
      </c>
      <c r="B4" s="32">
        <f>'Teacher Details'!B4</f>
        <v>0</v>
      </c>
      <c r="C4" s="95"/>
      <c r="D4" s="32"/>
      <c r="E4" s="32"/>
      <c r="F4" s="32"/>
      <c r="G4" s="32"/>
      <c r="H4" s="32"/>
      <c r="I4" s="32"/>
      <c r="J4" s="32"/>
    </row>
    <row r="5" spans="1:206" x14ac:dyDescent="0.3">
      <c r="A5" s="32">
        <f>'Teacher Details'!A5</f>
        <v>0</v>
      </c>
      <c r="B5" s="32">
        <f>'Teacher Details'!B5</f>
        <v>0</v>
      </c>
      <c r="C5" s="95"/>
      <c r="D5" s="32"/>
      <c r="E5" s="32"/>
      <c r="F5" s="32"/>
      <c r="G5" s="32"/>
      <c r="H5" s="32"/>
      <c r="I5" s="32"/>
      <c r="J5" s="32"/>
    </row>
    <row r="6" spans="1:206" x14ac:dyDescent="0.3">
      <c r="A6" s="32">
        <f>'Teacher Details'!A6</f>
        <v>0</v>
      </c>
      <c r="B6" s="32">
        <f>'Teacher Details'!B6</f>
        <v>0</v>
      </c>
      <c r="C6" s="95"/>
      <c r="D6" s="32"/>
      <c r="E6" s="32"/>
      <c r="F6" s="32"/>
      <c r="G6" s="32"/>
      <c r="H6" s="32"/>
      <c r="I6" s="32"/>
      <c r="J6" s="32"/>
    </row>
    <row r="7" spans="1:206" x14ac:dyDescent="0.3">
      <c r="A7" s="32">
        <f>'Teacher Details'!A7</f>
        <v>0</v>
      </c>
      <c r="B7" s="32">
        <f>'Teacher Details'!B7</f>
        <v>0</v>
      </c>
      <c r="C7" s="95"/>
      <c r="D7" s="32"/>
      <c r="E7" s="32"/>
      <c r="F7" s="32"/>
      <c r="G7" s="32"/>
      <c r="H7" s="32"/>
      <c r="I7" s="32"/>
      <c r="J7" s="32"/>
    </row>
    <row r="8" spans="1:206" x14ac:dyDescent="0.3">
      <c r="A8" s="32">
        <f>'Teacher Details'!A8</f>
        <v>0</v>
      </c>
      <c r="B8" s="32">
        <f>'Teacher Details'!B8</f>
        <v>0</v>
      </c>
      <c r="C8" s="95"/>
      <c r="D8" s="32"/>
      <c r="E8" s="32"/>
      <c r="F8" s="32"/>
      <c r="G8" s="32"/>
      <c r="H8" s="32"/>
      <c r="I8" s="32"/>
      <c r="J8" s="32"/>
    </row>
    <row r="9" spans="1:206" x14ac:dyDescent="0.3">
      <c r="A9" s="32">
        <f>'Teacher Details'!A9</f>
        <v>0</v>
      </c>
      <c r="B9" s="32">
        <f>'Teacher Details'!B9</f>
        <v>0</v>
      </c>
      <c r="C9" s="95"/>
      <c r="D9" s="32"/>
      <c r="E9" s="32"/>
      <c r="F9" s="32"/>
      <c r="G9" s="32"/>
      <c r="H9" s="32"/>
      <c r="I9" s="32"/>
      <c r="J9" s="32"/>
    </row>
    <row r="10" spans="1:206" x14ac:dyDescent="0.3">
      <c r="A10" s="32">
        <f>'Teacher Details'!A10</f>
        <v>0</v>
      </c>
      <c r="B10" s="32">
        <f>'Teacher Details'!B10</f>
        <v>0</v>
      </c>
      <c r="C10" s="95"/>
      <c r="D10" s="32"/>
      <c r="E10" s="32"/>
      <c r="F10" s="32"/>
      <c r="G10" s="32"/>
      <c r="H10" s="32"/>
      <c r="I10" s="32"/>
      <c r="J10" s="32"/>
    </row>
    <row r="11" spans="1:206" x14ac:dyDescent="0.3">
      <c r="A11" s="32">
        <f>'Teacher Details'!A11</f>
        <v>0</v>
      </c>
      <c r="B11" s="32">
        <f>'Teacher Details'!B11</f>
        <v>0</v>
      </c>
      <c r="C11" s="95"/>
      <c r="D11" s="32"/>
      <c r="E11" s="32"/>
      <c r="F11" s="32"/>
      <c r="G11" s="32"/>
      <c r="H11" s="32"/>
      <c r="I11" s="32"/>
      <c r="J11" s="32"/>
    </row>
    <row r="12" spans="1:206" x14ac:dyDescent="0.3">
      <c r="A12" s="32">
        <f>'Teacher Details'!A12</f>
        <v>0</v>
      </c>
      <c r="B12" s="32">
        <f>'Teacher Details'!B12</f>
        <v>0</v>
      </c>
      <c r="C12" s="95"/>
      <c r="D12" s="32"/>
      <c r="E12" s="32"/>
      <c r="F12" s="32"/>
      <c r="G12" s="32"/>
      <c r="H12" s="32"/>
      <c r="I12" s="32"/>
      <c r="J12" s="32"/>
    </row>
    <row r="13" spans="1:206" x14ac:dyDescent="0.3">
      <c r="A13" s="32">
        <f>'Teacher Details'!A13</f>
        <v>0</v>
      </c>
      <c r="B13" s="32">
        <f>'Teacher Details'!B13</f>
        <v>0</v>
      </c>
      <c r="C13" s="95"/>
      <c r="D13" s="32"/>
      <c r="E13" s="32"/>
      <c r="F13" s="32"/>
      <c r="G13" s="32"/>
      <c r="H13" s="32"/>
      <c r="I13" s="32"/>
      <c r="J13" s="32"/>
    </row>
    <row r="14" spans="1:206" x14ac:dyDescent="0.3">
      <c r="A14" s="32">
        <f>'Teacher Details'!A14</f>
        <v>0</v>
      </c>
      <c r="B14" s="32">
        <f>'Teacher Details'!B14</f>
        <v>0</v>
      </c>
      <c r="C14" s="95"/>
      <c r="D14" s="32"/>
      <c r="E14" s="32"/>
      <c r="F14" s="32"/>
      <c r="G14" s="32"/>
      <c r="H14" s="32"/>
      <c r="I14" s="32"/>
      <c r="J14" s="32"/>
    </row>
    <row r="15" spans="1:206" x14ac:dyDescent="0.3">
      <c r="A15" s="32">
        <f>'Teacher Details'!A15</f>
        <v>0</v>
      </c>
      <c r="B15" s="32">
        <f>'Teacher Details'!B15</f>
        <v>0</v>
      </c>
      <c r="C15" s="95"/>
      <c r="D15" s="32"/>
      <c r="E15" s="32"/>
      <c r="F15" s="32"/>
      <c r="G15" s="32"/>
      <c r="H15" s="32"/>
      <c r="I15" s="32"/>
      <c r="J15" s="32"/>
    </row>
    <row r="16" spans="1:206" x14ac:dyDescent="0.3">
      <c r="A16" s="32">
        <f>'Teacher Details'!A16</f>
        <v>0</v>
      </c>
      <c r="B16" s="32">
        <f>'Teacher Details'!B16</f>
        <v>0</v>
      </c>
      <c r="C16" s="95"/>
      <c r="D16" s="32"/>
      <c r="E16" s="32"/>
      <c r="F16" s="32"/>
      <c r="G16" s="32"/>
      <c r="H16" s="32"/>
      <c r="I16" s="32"/>
      <c r="J16" s="32"/>
    </row>
    <row r="17" spans="1:10" x14ac:dyDescent="0.3">
      <c r="A17" s="32">
        <f>'Teacher Details'!A17</f>
        <v>0</v>
      </c>
      <c r="B17" s="32">
        <f>'Teacher Details'!B17</f>
        <v>0</v>
      </c>
      <c r="C17" s="95"/>
      <c r="D17" s="32"/>
      <c r="E17" s="32"/>
      <c r="F17" s="32"/>
      <c r="G17" s="32"/>
      <c r="H17" s="32"/>
      <c r="I17" s="32"/>
      <c r="J17" s="32"/>
    </row>
    <row r="18" spans="1:10" x14ac:dyDescent="0.3">
      <c r="A18" s="32">
        <f>'Teacher Details'!A18</f>
        <v>0</v>
      </c>
      <c r="B18" s="32">
        <f>'Teacher Details'!B18</f>
        <v>0</v>
      </c>
      <c r="C18" s="95"/>
      <c r="D18" s="32"/>
      <c r="E18" s="32"/>
      <c r="F18" s="32"/>
      <c r="G18" s="32"/>
      <c r="H18" s="32"/>
      <c r="I18" s="32"/>
      <c r="J18" s="32"/>
    </row>
    <row r="19" spans="1:10" x14ac:dyDescent="0.3">
      <c r="A19" s="32">
        <f>'Teacher Details'!A19</f>
        <v>0</v>
      </c>
      <c r="B19" s="32">
        <f>'Teacher Details'!B19</f>
        <v>0</v>
      </c>
      <c r="C19" s="95"/>
      <c r="D19" s="32"/>
      <c r="E19" s="32"/>
      <c r="F19" s="32"/>
      <c r="G19" s="32"/>
      <c r="H19" s="32"/>
      <c r="I19" s="32"/>
      <c r="J19" s="32"/>
    </row>
    <row r="20" spans="1:10" x14ac:dyDescent="0.3">
      <c r="A20" s="32">
        <f>'Teacher Details'!A20</f>
        <v>0</v>
      </c>
      <c r="B20" s="32">
        <f>'Teacher Details'!B20</f>
        <v>0</v>
      </c>
      <c r="C20" s="32"/>
      <c r="D20" s="32"/>
      <c r="E20" s="32"/>
      <c r="F20" s="32"/>
      <c r="G20" s="32"/>
      <c r="H20" s="32"/>
      <c r="I20" s="32"/>
      <c r="J20" s="32"/>
    </row>
    <row r="21" spans="1:10" x14ac:dyDescent="0.3">
      <c r="A21" s="32">
        <f>'Teacher Details'!A21</f>
        <v>0</v>
      </c>
      <c r="B21" s="32">
        <f>'Teacher Details'!B21</f>
        <v>0</v>
      </c>
      <c r="C21" s="32"/>
      <c r="D21" s="32"/>
      <c r="E21" s="32"/>
      <c r="F21" s="32"/>
      <c r="G21" s="32"/>
      <c r="H21" s="32"/>
      <c r="I21" s="32"/>
      <c r="J21" s="32"/>
    </row>
    <row r="22" spans="1:10" x14ac:dyDescent="0.3">
      <c r="A22" s="32">
        <f>'Teacher Details'!A22</f>
        <v>0</v>
      </c>
      <c r="B22" s="32">
        <f>'Teacher Details'!B22</f>
        <v>0</v>
      </c>
      <c r="C22" s="32"/>
      <c r="D22" s="32"/>
      <c r="E22" s="32"/>
      <c r="F22" s="32"/>
      <c r="G22" s="32"/>
      <c r="H22" s="32"/>
      <c r="I22" s="32"/>
      <c r="J22" s="32"/>
    </row>
    <row r="23" spans="1:10" x14ac:dyDescent="0.3">
      <c r="A23" s="32">
        <f>'Teacher Details'!A23</f>
        <v>0</v>
      </c>
      <c r="B23" s="32">
        <f>'Teacher Details'!B23</f>
        <v>0</v>
      </c>
      <c r="C23" s="32"/>
      <c r="D23" s="32"/>
      <c r="E23" s="32"/>
      <c r="F23" s="32"/>
      <c r="G23" s="32"/>
      <c r="H23" s="32"/>
      <c r="I23" s="32"/>
      <c r="J23" s="32"/>
    </row>
    <row r="24" spans="1:10" x14ac:dyDescent="0.3">
      <c r="A24" s="32">
        <f>'Teacher Details'!A24</f>
        <v>0</v>
      </c>
      <c r="B24" s="32">
        <f>'Teacher Details'!B24</f>
        <v>0</v>
      </c>
      <c r="C24" s="32"/>
      <c r="D24" s="32"/>
      <c r="E24" s="32"/>
      <c r="F24" s="32"/>
      <c r="G24" s="32"/>
      <c r="H24" s="32"/>
      <c r="I24" s="32"/>
      <c r="J24" s="32"/>
    </row>
    <row r="25" spans="1:10" x14ac:dyDescent="0.3">
      <c r="A25" s="32">
        <f>'Teacher Details'!A25</f>
        <v>0</v>
      </c>
      <c r="B25" s="32">
        <f>'Teacher Details'!B25</f>
        <v>0</v>
      </c>
      <c r="C25" s="32"/>
      <c r="D25" s="32"/>
      <c r="E25" s="32"/>
      <c r="F25" s="32"/>
      <c r="G25" s="32"/>
      <c r="H25" s="32"/>
      <c r="I25" s="32"/>
      <c r="J25" s="32"/>
    </row>
    <row r="26" spans="1:10" x14ac:dyDescent="0.3">
      <c r="A26" s="32">
        <f>'Teacher Details'!A26</f>
        <v>0</v>
      </c>
      <c r="B26" s="32">
        <f>'Teacher Details'!B26</f>
        <v>0</v>
      </c>
      <c r="C26" s="32"/>
      <c r="D26" s="32"/>
      <c r="E26" s="32"/>
      <c r="F26" s="32"/>
      <c r="G26" s="32"/>
      <c r="H26" s="32"/>
      <c r="I26" s="32"/>
      <c r="J26" s="32"/>
    </row>
    <row r="27" spans="1:10" x14ac:dyDescent="0.3">
      <c r="A27" s="32">
        <f>'Teacher Details'!A27</f>
        <v>0</v>
      </c>
      <c r="B27" s="32">
        <f>'Teacher Details'!B27</f>
        <v>0</v>
      </c>
      <c r="C27" s="32"/>
      <c r="D27" s="32"/>
      <c r="E27" s="32"/>
      <c r="F27" s="32"/>
      <c r="G27" s="32"/>
      <c r="H27" s="32"/>
      <c r="I27" s="32"/>
      <c r="J27" s="32"/>
    </row>
    <row r="28" spans="1:10" x14ac:dyDescent="0.3">
      <c r="A28" s="32">
        <f>'Teacher Details'!A28</f>
        <v>0</v>
      </c>
      <c r="B28" s="32">
        <f>'Teacher Details'!B28</f>
        <v>0</v>
      </c>
      <c r="C28" s="32"/>
      <c r="D28" s="32"/>
      <c r="E28" s="32"/>
      <c r="F28" s="32"/>
      <c r="G28" s="32"/>
      <c r="H28" s="32"/>
      <c r="I28" s="32"/>
      <c r="J28" s="32"/>
    </row>
    <row r="29" spans="1:10" x14ac:dyDescent="0.3">
      <c r="A29" s="32">
        <f>'Teacher Details'!A29</f>
        <v>0</v>
      </c>
      <c r="B29" s="32">
        <f>'Teacher Details'!B29</f>
        <v>0</v>
      </c>
      <c r="C29" s="32"/>
      <c r="D29" s="32"/>
      <c r="E29" s="32"/>
      <c r="F29" s="32"/>
      <c r="G29" s="32"/>
      <c r="H29" s="32"/>
      <c r="I29" s="32"/>
      <c r="J29" s="32"/>
    </row>
    <row r="30" spans="1:10" x14ac:dyDescent="0.3">
      <c r="A30" s="32">
        <f>'Teacher Details'!A30</f>
        <v>0</v>
      </c>
      <c r="B30" s="32">
        <f>'Teacher Details'!B30</f>
        <v>0</v>
      </c>
      <c r="C30" s="32"/>
      <c r="D30" s="32"/>
      <c r="E30" s="32"/>
      <c r="F30" s="32"/>
      <c r="G30" s="32"/>
      <c r="H30" s="32"/>
      <c r="I30" s="32"/>
      <c r="J30" s="32"/>
    </row>
    <row r="31" spans="1:10" x14ac:dyDescent="0.3">
      <c r="A31" s="32">
        <f>'Teacher Details'!A31</f>
        <v>0</v>
      </c>
      <c r="B31" s="32">
        <f>'Teacher Details'!B31</f>
        <v>0</v>
      </c>
      <c r="C31" s="32"/>
      <c r="D31" s="32"/>
      <c r="E31" s="32"/>
      <c r="F31" s="32"/>
      <c r="G31" s="32"/>
      <c r="H31" s="32"/>
      <c r="I31" s="32"/>
      <c r="J31" s="32"/>
    </row>
    <row r="32" spans="1:10" x14ac:dyDescent="0.3">
      <c r="A32" s="32">
        <f>'Teacher Details'!A32</f>
        <v>0</v>
      </c>
      <c r="B32" s="32">
        <f>'Teacher Details'!B32</f>
        <v>0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3">
      <c r="A33" s="32">
        <f>'Teacher Details'!A33</f>
        <v>0</v>
      </c>
      <c r="B33" s="32">
        <f>'Teacher Details'!B33</f>
        <v>0</v>
      </c>
      <c r="C33" s="32"/>
      <c r="D33" s="32"/>
      <c r="E33" s="32"/>
      <c r="F33" s="32"/>
      <c r="G33" s="32"/>
      <c r="H33" s="32"/>
      <c r="I33" s="32"/>
      <c r="J33" s="32"/>
    </row>
    <row r="34" spans="1:10" x14ac:dyDescent="0.3">
      <c r="A34" s="32">
        <f>'Teacher Details'!A34</f>
        <v>0</v>
      </c>
      <c r="B34" s="32">
        <f>'Teacher Details'!B34</f>
        <v>0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3">
      <c r="A35" s="32">
        <f>'Teacher Details'!A35</f>
        <v>0</v>
      </c>
      <c r="B35" s="32">
        <f>'Teacher Details'!B35</f>
        <v>0</v>
      </c>
      <c r="C35" s="32"/>
      <c r="D35" s="32"/>
      <c r="E35" s="32"/>
      <c r="F35" s="32"/>
      <c r="G35" s="32"/>
      <c r="H35" s="32"/>
      <c r="I35" s="32"/>
      <c r="J35" s="32"/>
    </row>
    <row r="36" spans="1:10" x14ac:dyDescent="0.3">
      <c r="A36" s="32">
        <f>'Teacher Details'!A36</f>
        <v>0</v>
      </c>
      <c r="B36" s="32">
        <f>'Teacher Details'!B36</f>
        <v>0</v>
      </c>
      <c r="C36" s="32"/>
      <c r="D36" s="32"/>
      <c r="E36" s="32"/>
      <c r="F36" s="32"/>
      <c r="G36" s="32"/>
      <c r="H36" s="32"/>
      <c r="I36" s="32"/>
      <c r="J36" s="32"/>
    </row>
    <row r="37" spans="1:10" x14ac:dyDescent="0.3">
      <c r="A37" s="32">
        <f>'Teacher Details'!A37</f>
        <v>0</v>
      </c>
      <c r="B37" s="32">
        <f>'Teacher Details'!B37</f>
        <v>0</v>
      </c>
      <c r="C37" s="32"/>
      <c r="D37" s="32"/>
      <c r="E37" s="32"/>
      <c r="F37" s="32"/>
      <c r="G37" s="32"/>
      <c r="H37" s="32"/>
      <c r="I37" s="32"/>
      <c r="J37" s="32"/>
    </row>
    <row r="38" spans="1:10" x14ac:dyDescent="0.3">
      <c r="A38" s="32">
        <f>'Teacher Details'!A38</f>
        <v>0</v>
      </c>
      <c r="B38" s="32">
        <f>'Teacher Details'!B38</f>
        <v>0</v>
      </c>
      <c r="C38" s="32"/>
      <c r="D38" s="32"/>
      <c r="E38" s="32"/>
      <c r="F38" s="32"/>
      <c r="G38" s="32"/>
      <c r="H38" s="32"/>
      <c r="I38" s="32"/>
      <c r="J38" s="32"/>
    </row>
    <row r="39" spans="1:10" x14ac:dyDescent="0.3">
      <c r="A39" s="32">
        <f>'Teacher Details'!A39</f>
        <v>0</v>
      </c>
      <c r="B39" s="32">
        <f>'Teacher Details'!B39</f>
        <v>0</v>
      </c>
      <c r="C39" s="32"/>
      <c r="D39" s="32"/>
      <c r="E39" s="32"/>
      <c r="F39" s="32"/>
      <c r="G39" s="32"/>
      <c r="H39" s="32"/>
      <c r="I39" s="32"/>
      <c r="J39" s="32"/>
    </row>
    <row r="40" spans="1:10" x14ac:dyDescent="0.3">
      <c r="A40" s="32">
        <f>'Teacher Details'!A40</f>
        <v>0</v>
      </c>
      <c r="B40" s="32">
        <f>'Teacher Details'!B40</f>
        <v>0</v>
      </c>
      <c r="C40" s="32"/>
      <c r="D40" s="32"/>
      <c r="E40" s="32"/>
      <c r="F40" s="32"/>
      <c r="G40" s="32"/>
      <c r="H40" s="32"/>
      <c r="I40" s="32"/>
      <c r="J40" s="32"/>
    </row>
    <row r="41" spans="1:10" x14ac:dyDescent="0.3">
      <c r="A41" s="32">
        <f>'Teacher Details'!A41</f>
        <v>0</v>
      </c>
      <c r="B41" s="32">
        <f>'Teacher Details'!B41</f>
        <v>0</v>
      </c>
      <c r="C41" s="32"/>
      <c r="D41" s="32"/>
      <c r="E41" s="32"/>
      <c r="F41" s="32"/>
      <c r="G41" s="32"/>
      <c r="H41" s="32"/>
      <c r="I41" s="32"/>
      <c r="J41" s="32"/>
    </row>
    <row r="42" spans="1:10" x14ac:dyDescent="0.3">
      <c r="A42" s="32">
        <f>'Teacher Details'!A42</f>
        <v>0</v>
      </c>
      <c r="B42" s="32">
        <f>'Teacher Details'!B42</f>
        <v>0</v>
      </c>
      <c r="C42" s="32"/>
      <c r="D42" s="32"/>
      <c r="E42" s="32"/>
      <c r="F42" s="32"/>
      <c r="G42" s="32"/>
      <c r="H42" s="32"/>
      <c r="I42" s="32"/>
      <c r="J42" s="32"/>
    </row>
    <row r="43" spans="1:10" x14ac:dyDescent="0.3">
      <c r="A43" s="32">
        <f>'Teacher Details'!A43</f>
        <v>0</v>
      </c>
      <c r="B43" s="32">
        <f>'Teacher Details'!B43</f>
        <v>0</v>
      </c>
      <c r="C43" s="32"/>
      <c r="D43" s="32"/>
      <c r="E43" s="32"/>
      <c r="F43" s="32"/>
      <c r="G43" s="32"/>
      <c r="H43" s="32"/>
      <c r="I43" s="32"/>
      <c r="J43" s="32"/>
    </row>
    <row r="44" spans="1:10" x14ac:dyDescent="0.3">
      <c r="A44" s="32">
        <f>'Teacher Details'!A44</f>
        <v>0</v>
      </c>
      <c r="B44" s="32">
        <f>'Teacher Details'!B44</f>
        <v>0</v>
      </c>
      <c r="C44" s="32"/>
      <c r="D44" s="32"/>
      <c r="E44" s="32"/>
      <c r="F44" s="32"/>
      <c r="G44" s="32"/>
      <c r="H44" s="32"/>
      <c r="I44" s="32"/>
      <c r="J44" s="32"/>
    </row>
    <row r="45" spans="1:10" x14ac:dyDescent="0.3">
      <c r="A45" s="32">
        <f>'Teacher Details'!A45</f>
        <v>0</v>
      </c>
      <c r="B45" s="32">
        <f>'Teacher Details'!B45</f>
        <v>0</v>
      </c>
      <c r="C45" s="32"/>
      <c r="D45" s="32"/>
      <c r="E45" s="32"/>
      <c r="F45" s="32"/>
      <c r="G45" s="32"/>
      <c r="H45" s="32"/>
      <c r="I45" s="32"/>
      <c r="J45" s="32"/>
    </row>
    <row r="46" spans="1:10" x14ac:dyDescent="0.3">
      <c r="A46" s="32">
        <f>'Teacher Details'!A46</f>
        <v>0</v>
      </c>
      <c r="B46" s="32">
        <f>'Teacher Details'!B46</f>
        <v>0</v>
      </c>
      <c r="C46" s="32"/>
      <c r="D46" s="32"/>
      <c r="E46" s="32"/>
      <c r="F46" s="32"/>
      <c r="G46" s="32"/>
      <c r="H46" s="32"/>
      <c r="I46" s="32"/>
      <c r="J46" s="32"/>
    </row>
    <row r="47" spans="1:10" x14ac:dyDescent="0.3">
      <c r="A47" s="32">
        <f>'Teacher Details'!A47</f>
        <v>0</v>
      </c>
      <c r="B47" s="32">
        <f>'Teacher Details'!B47</f>
        <v>0</v>
      </c>
      <c r="C47" s="32"/>
      <c r="D47" s="32"/>
      <c r="E47" s="32"/>
      <c r="F47" s="32"/>
      <c r="G47" s="32"/>
      <c r="H47" s="32"/>
      <c r="I47" s="32"/>
      <c r="J47" s="32"/>
    </row>
    <row r="48" spans="1:10" x14ac:dyDescent="0.3">
      <c r="A48" s="32">
        <f>'Teacher Details'!A48</f>
        <v>0</v>
      </c>
      <c r="B48" s="32">
        <f>'Teacher Details'!B48</f>
        <v>0</v>
      </c>
      <c r="C48" s="32"/>
      <c r="D48" s="32"/>
      <c r="E48" s="32"/>
      <c r="F48" s="32"/>
      <c r="G48" s="32"/>
      <c r="H48" s="32"/>
      <c r="I48" s="32"/>
      <c r="J48" s="32"/>
    </row>
    <row r="49" spans="1:10" x14ac:dyDescent="0.3">
      <c r="A49" s="32">
        <f>'Teacher Details'!A49</f>
        <v>0</v>
      </c>
      <c r="B49" s="32">
        <f>'Teacher Details'!B49</f>
        <v>0</v>
      </c>
      <c r="C49" s="32"/>
      <c r="D49" s="32"/>
      <c r="E49" s="32"/>
      <c r="F49" s="32"/>
      <c r="G49" s="32"/>
      <c r="H49" s="32"/>
      <c r="I49" s="32"/>
      <c r="J49" s="32"/>
    </row>
    <row r="50" spans="1:10" x14ac:dyDescent="0.3">
      <c r="A50" s="32">
        <f>'Teacher Details'!A50</f>
        <v>0</v>
      </c>
      <c r="B50" s="32">
        <f>'Teacher Details'!B50</f>
        <v>0</v>
      </c>
      <c r="C50" s="32"/>
      <c r="D50" s="32"/>
      <c r="E50" s="32"/>
      <c r="F50" s="32"/>
      <c r="G50" s="32"/>
      <c r="H50" s="32"/>
      <c r="I50" s="32"/>
      <c r="J50" s="32"/>
    </row>
    <row r="51" spans="1:10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</row>
    <row r="52" spans="1:10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</row>
    <row r="53" spans="1:10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</row>
    <row r="54" spans="1:10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</row>
    <row r="55" spans="1:10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</row>
    <row r="56" spans="1:10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</row>
    <row r="57" spans="1:10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</row>
    <row r="58" spans="1:10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</row>
    <row r="59" spans="1:10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</row>
    <row r="60" spans="1:10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</row>
    <row r="61" spans="1:10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</row>
    <row r="62" spans="1:10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</row>
    <row r="63" spans="1:10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</row>
    <row r="64" spans="1:10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</row>
    <row r="65" spans="1:10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</row>
    <row r="66" spans="1:10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</row>
    <row r="67" spans="1:10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</row>
    <row r="68" spans="1:10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</row>
    <row r="69" spans="1:10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</row>
    <row r="70" spans="1:10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</row>
    <row r="71" spans="1:10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</row>
    <row r="72" spans="1:10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</row>
    <row r="73" spans="1:10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</row>
    <row r="74" spans="1:10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</row>
    <row r="75" spans="1:10" x14ac:dyDescent="0.3">
      <c r="A75" s="32"/>
      <c r="B75" s="32"/>
      <c r="C75" s="32"/>
      <c r="D75" s="32"/>
      <c r="E75" s="32"/>
      <c r="F75" s="32"/>
      <c r="G75" s="32"/>
      <c r="H75" s="32"/>
      <c r="I75" s="32"/>
      <c r="J75" s="32"/>
    </row>
    <row r="76" spans="1:10" x14ac:dyDescent="0.3">
      <c r="A76" s="32"/>
      <c r="B76" s="32"/>
      <c r="C76" s="32"/>
      <c r="D76" s="32"/>
      <c r="E76" s="32"/>
      <c r="F76" s="32"/>
      <c r="G76" s="32"/>
      <c r="H76" s="32"/>
      <c r="I76" s="32"/>
      <c r="J76" s="32"/>
    </row>
    <row r="77" spans="1:10" x14ac:dyDescent="0.3">
      <c r="A77" s="32"/>
      <c r="B77" s="32"/>
      <c r="C77" s="32"/>
      <c r="D77" s="32"/>
      <c r="E77" s="32"/>
      <c r="F77" s="32"/>
      <c r="G77" s="32"/>
      <c r="H77" s="32"/>
      <c r="I77" s="32"/>
      <c r="J77" s="32"/>
    </row>
    <row r="78" spans="1:10" x14ac:dyDescent="0.3">
      <c r="A78" s="32"/>
      <c r="B78" s="32"/>
      <c r="C78" s="32"/>
      <c r="D78" s="32"/>
      <c r="E78" s="32"/>
      <c r="F78" s="32"/>
      <c r="G78" s="32"/>
      <c r="H78" s="32"/>
      <c r="I78" s="32"/>
      <c r="J78" s="32"/>
    </row>
    <row r="79" spans="1:10" x14ac:dyDescent="0.3">
      <c r="A79" s="32"/>
      <c r="B79" s="32"/>
      <c r="C79" s="32"/>
      <c r="D79" s="32"/>
      <c r="E79" s="32"/>
      <c r="F79" s="32"/>
      <c r="G79" s="32"/>
      <c r="H79" s="32"/>
      <c r="I79" s="32"/>
      <c r="J79" s="32"/>
    </row>
    <row r="80" spans="1:10" x14ac:dyDescent="0.3">
      <c r="A80" s="32"/>
      <c r="B80" s="32"/>
      <c r="C80" s="32"/>
      <c r="D80" s="32"/>
      <c r="E80" s="32"/>
      <c r="F80" s="32"/>
      <c r="G80" s="32"/>
      <c r="H80" s="32"/>
      <c r="I80" s="32"/>
      <c r="J80" s="32"/>
    </row>
    <row r="81" spans="1:10" x14ac:dyDescent="0.3">
      <c r="A81" s="32"/>
      <c r="B81" s="32"/>
      <c r="C81" s="32"/>
      <c r="D81" s="32"/>
      <c r="E81" s="32"/>
      <c r="F81" s="32"/>
      <c r="G81" s="32"/>
      <c r="H81" s="32"/>
      <c r="I81" s="32"/>
      <c r="J81" s="32"/>
    </row>
    <row r="82" spans="1:10" x14ac:dyDescent="0.3">
      <c r="A82" s="32"/>
      <c r="B82" s="32"/>
      <c r="C82" s="32"/>
      <c r="D82" s="32"/>
      <c r="E82" s="32"/>
      <c r="F82" s="32"/>
      <c r="G82" s="32"/>
      <c r="H82" s="32"/>
      <c r="I82" s="32"/>
      <c r="J82" s="32"/>
    </row>
    <row r="83" spans="1:10" x14ac:dyDescent="0.3">
      <c r="A83" s="32"/>
      <c r="B83" s="32"/>
      <c r="C83" s="32"/>
      <c r="D83" s="32"/>
      <c r="E83" s="32"/>
      <c r="F83" s="32"/>
      <c r="G83" s="32"/>
      <c r="H83" s="32"/>
      <c r="I83" s="32"/>
      <c r="J83" s="32"/>
    </row>
    <row r="84" spans="1:10" x14ac:dyDescent="0.3">
      <c r="A84" s="32"/>
      <c r="B84" s="32"/>
      <c r="C84" s="32"/>
      <c r="D84" s="32"/>
      <c r="E84" s="32"/>
      <c r="F84" s="32"/>
      <c r="G84" s="32"/>
      <c r="H84" s="32"/>
      <c r="I84" s="32"/>
      <c r="J84" s="32"/>
    </row>
    <row r="85" spans="1:10" x14ac:dyDescent="0.3">
      <c r="A85" s="32"/>
      <c r="B85" s="32"/>
      <c r="C85" s="32"/>
      <c r="D85" s="32"/>
      <c r="E85" s="32"/>
      <c r="F85" s="32"/>
      <c r="G85" s="32"/>
      <c r="H85" s="32"/>
      <c r="I85" s="32"/>
      <c r="J85" s="32"/>
    </row>
    <row r="86" spans="1:10" x14ac:dyDescent="0.3">
      <c r="A86" s="32"/>
      <c r="B86" s="32"/>
      <c r="C86" s="32"/>
      <c r="D86" s="32"/>
      <c r="E86" s="32"/>
      <c r="F86" s="32"/>
      <c r="G86" s="32"/>
      <c r="H86" s="32"/>
      <c r="I86" s="32"/>
      <c r="J86" s="32"/>
    </row>
    <row r="87" spans="1:10" x14ac:dyDescent="0.3">
      <c r="A87" s="32"/>
      <c r="B87" s="32"/>
      <c r="C87" s="32"/>
      <c r="D87" s="32"/>
      <c r="E87" s="32"/>
      <c r="F87" s="32"/>
      <c r="G87" s="32"/>
      <c r="H87" s="32"/>
      <c r="I87" s="32"/>
      <c r="J87" s="32"/>
    </row>
    <row r="88" spans="1:10" x14ac:dyDescent="0.3">
      <c r="A88" s="32"/>
      <c r="B88" s="32"/>
      <c r="C88" s="32"/>
      <c r="D88" s="32"/>
      <c r="E88" s="32"/>
      <c r="F88" s="32"/>
      <c r="G88" s="32"/>
      <c r="H88" s="32"/>
      <c r="I88" s="32"/>
      <c r="J88" s="32"/>
    </row>
    <row r="89" spans="1:10" x14ac:dyDescent="0.3">
      <c r="A89" s="32"/>
      <c r="B89" s="32"/>
      <c r="C89" s="32"/>
      <c r="D89" s="32"/>
      <c r="E89" s="32"/>
      <c r="F89" s="32"/>
      <c r="G89" s="32"/>
      <c r="H89" s="32"/>
      <c r="I89" s="32"/>
      <c r="J89" s="32"/>
    </row>
    <row r="90" spans="1:10" x14ac:dyDescent="0.3">
      <c r="A90" s="32"/>
      <c r="B90" s="32"/>
      <c r="C90" s="32"/>
      <c r="D90" s="32"/>
      <c r="E90" s="32"/>
      <c r="F90" s="32"/>
      <c r="G90" s="32"/>
      <c r="H90" s="32"/>
      <c r="I90" s="32"/>
      <c r="J90" s="32"/>
    </row>
    <row r="91" spans="1:10" x14ac:dyDescent="0.3">
      <c r="A91" s="32"/>
      <c r="B91" s="32"/>
      <c r="C91" s="32"/>
      <c r="D91" s="32"/>
      <c r="E91" s="32"/>
      <c r="F91" s="32"/>
      <c r="G91" s="32"/>
      <c r="H91" s="32"/>
      <c r="I91" s="32"/>
      <c r="J91" s="32"/>
    </row>
    <row r="92" spans="1:10" x14ac:dyDescent="0.3">
      <c r="A92" s="32"/>
      <c r="B92" s="32"/>
      <c r="C92" s="32"/>
      <c r="D92" s="32"/>
      <c r="E92" s="32"/>
      <c r="F92" s="32"/>
      <c r="G92" s="32"/>
      <c r="H92" s="32"/>
      <c r="I92" s="32"/>
      <c r="J92" s="32"/>
    </row>
    <row r="93" spans="1:10" x14ac:dyDescent="0.3">
      <c r="A93" s="32"/>
      <c r="B93" s="32"/>
      <c r="C93" s="32"/>
      <c r="D93" s="32"/>
      <c r="E93" s="32"/>
      <c r="F93" s="32"/>
      <c r="G93" s="32"/>
      <c r="H93" s="32"/>
      <c r="I93" s="32"/>
      <c r="J93" s="32"/>
    </row>
    <row r="94" spans="1:10" x14ac:dyDescent="0.3">
      <c r="A94" s="32"/>
      <c r="B94" s="32"/>
      <c r="C94" s="32"/>
      <c r="D94" s="32"/>
      <c r="E94" s="32"/>
      <c r="F94" s="32"/>
      <c r="G94" s="32"/>
      <c r="H94" s="32"/>
      <c r="I94" s="32"/>
      <c r="J94" s="32"/>
    </row>
    <row r="95" spans="1:10" x14ac:dyDescent="0.3">
      <c r="A95" s="32"/>
      <c r="B95" s="32"/>
      <c r="C95" s="32"/>
      <c r="D95" s="32"/>
      <c r="E95" s="32"/>
      <c r="F95" s="32"/>
      <c r="G95" s="32"/>
      <c r="H95" s="32"/>
      <c r="I95" s="32"/>
      <c r="J95" s="32"/>
    </row>
    <row r="96" spans="1:10" x14ac:dyDescent="0.3">
      <c r="A96" s="32"/>
      <c r="B96" s="32"/>
      <c r="C96" s="32"/>
      <c r="D96" s="32"/>
      <c r="E96" s="32"/>
      <c r="F96" s="32"/>
      <c r="G96" s="32"/>
      <c r="H96" s="32"/>
      <c r="I96" s="32"/>
      <c r="J96" s="32"/>
    </row>
    <row r="97" spans="1:10" x14ac:dyDescent="0.3">
      <c r="A97" s="32"/>
      <c r="B97" s="32"/>
      <c r="C97" s="32"/>
      <c r="D97" s="32"/>
      <c r="E97" s="32"/>
      <c r="F97" s="32"/>
      <c r="G97" s="32"/>
      <c r="H97" s="32"/>
      <c r="I97" s="32"/>
      <c r="J97" s="32"/>
    </row>
    <row r="98" spans="1:10" x14ac:dyDescent="0.3">
      <c r="A98" s="32"/>
      <c r="B98" s="32"/>
      <c r="C98" s="32"/>
      <c r="D98" s="32"/>
      <c r="E98" s="32"/>
      <c r="F98" s="32"/>
      <c r="G98" s="32"/>
      <c r="H98" s="32"/>
      <c r="I98" s="32"/>
      <c r="J98" s="32"/>
    </row>
    <row r="99" spans="1:10" x14ac:dyDescent="0.3">
      <c r="A99" s="32"/>
      <c r="B99" s="32"/>
      <c r="C99" s="32"/>
      <c r="D99" s="32"/>
      <c r="E99" s="32"/>
      <c r="F99" s="32"/>
      <c r="G99" s="32"/>
      <c r="H99" s="32"/>
      <c r="I99" s="32"/>
      <c r="J99" s="32"/>
    </row>
    <row r="100" spans="1:10" x14ac:dyDescent="0.3">
      <c r="A100" s="32"/>
      <c r="B100" s="32"/>
      <c r="C100" s="32"/>
      <c r="D100" s="32"/>
      <c r="E100" s="32"/>
      <c r="F100" s="32"/>
      <c r="G100" s="32"/>
      <c r="H100" s="32"/>
      <c r="I100" s="32"/>
      <c r="J100" s="32"/>
    </row>
    <row r="101" spans="1:10" x14ac:dyDescent="0.3">
      <c r="A101" s="32"/>
      <c r="B101" s="32"/>
      <c r="C101" s="32"/>
      <c r="D101" s="32"/>
      <c r="E101" s="32"/>
      <c r="F101" s="32"/>
      <c r="G101" s="32"/>
      <c r="H101" s="32"/>
      <c r="I101" s="32"/>
      <c r="J101" s="32"/>
    </row>
    <row r="102" spans="1:10" x14ac:dyDescent="0.3">
      <c r="A102" s="32"/>
      <c r="B102" s="32"/>
      <c r="C102" s="32"/>
      <c r="D102" s="32"/>
      <c r="E102" s="32"/>
      <c r="F102" s="32"/>
      <c r="G102" s="32"/>
      <c r="H102" s="32"/>
      <c r="I102" s="32"/>
      <c r="J102" s="32"/>
    </row>
    <row r="103" spans="1:10" x14ac:dyDescent="0.3">
      <c r="A103" s="32"/>
      <c r="B103" s="32"/>
      <c r="C103" s="32"/>
      <c r="D103" s="32"/>
      <c r="E103" s="32"/>
      <c r="F103" s="32"/>
      <c r="G103" s="32"/>
      <c r="H103" s="32"/>
      <c r="I103" s="32"/>
      <c r="J103" s="32"/>
    </row>
    <row r="104" spans="1:10" x14ac:dyDescent="0.3">
      <c r="A104" s="32"/>
      <c r="B104" s="32"/>
      <c r="C104" s="32"/>
      <c r="D104" s="32"/>
      <c r="E104" s="32"/>
      <c r="F104" s="32"/>
      <c r="G104" s="32"/>
      <c r="H104" s="32"/>
      <c r="I104" s="32"/>
      <c r="J104" s="32"/>
    </row>
    <row r="105" spans="1:10" x14ac:dyDescent="0.3">
      <c r="A105" s="32"/>
      <c r="B105" s="32"/>
      <c r="C105" s="32"/>
      <c r="D105" s="32"/>
      <c r="E105" s="32"/>
      <c r="F105" s="32"/>
      <c r="G105" s="32"/>
      <c r="H105" s="32"/>
      <c r="I105" s="32"/>
      <c r="J105" s="32"/>
    </row>
    <row r="106" spans="1:10" x14ac:dyDescent="0.3">
      <c r="A106" s="32"/>
      <c r="B106" s="32"/>
      <c r="C106" s="32"/>
      <c r="D106" s="32"/>
      <c r="E106" s="32"/>
      <c r="F106" s="32"/>
      <c r="G106" s="32"/>
      <c r="H106" s="32"/>
      <c r="I106" s="32"/>
      <c r="J106" s="32"/>
    </row>
    <row r="107" spans="1:10" x14ac:dyDescent="0.3">
      <c r="A107" s="32"/>
      <c r="B107" s="32"/>
      <c r="C107" s="32"/>
      <c r="D107" s="32"/>
      <c r="E107" s="32"/>
      <c r="F107" s="32"/>
      <c r="G107" s="32"/>
      <c r="H107" s="32"/>
      <c r="I107" s="32"/>
      <c r="J107" s="32"/>
    </row>
    <row r="108" spans="1:10" x14ac:dyDescent="0.3">
      <c r="A108" s="32"/>
      <c r="B108" s="32"/>
      <c r="C108" s="32"/>
      <c r="D108" s="32"/>
      <c r="E108" s="32"/>
      <c r="F108" s="32"/>
      <c r="G108" s="32"/>
      <c r="H108" s="32"/>
      <c r="I108" s="32"/>
      <c r="J108" s="32"/>
    </row>
    <row r="109" spans="1:10" x14ac:dyDescent="0.3">
      <c r="A109" s="32"/>
      <c r="B109" s="32"/>
      <c r="C109" s="32"/>
      <c r="D109" s="32"/>
      <c r="E109" s="32"/>
      <c r="F109" s="32"/>
      <c r="G109" s="32"/>
      <c r="H109" s="32"/>
      <c r="I109" s="32"/>
      <c r="J109" s="32"/>
    </row>
    <row r="110" spans="1:10" x14ac:dyDescent="0.3">
      <c r="A110" s="32"/>
      <c r="B110" s="32"/>
      <c r="C110" s="32"/>
      <c r="D110" s="32"/>
      <c r="E110" s="32"/>
      <c r="F110" s="32"/>
      <c r="G110" s="32"/>
      <c r="H110" s="32"/>
      <c r="I110" s="32"/>
      <c r="J110" s="32"/>
    </row>
    <row r="111" spans="1:10" x14ac:dyDescent="0.3">
      <c r="A111" s="32"/>
      <c r="B111" s="32"/>
      <c r="C111" s="32"/>
      <c r="D111" s="32"/>
      <c r="E111" s="32"/>
      <c r="F111" s="32"/>
      <c r="G111" s="32"/>
      <c r="H111" s="32"/>
      <c r="I111" s="32"/>
      <c r="J111" s="32"/>
    </row>
    <row r="112" spans="1:10" x14ac:dyDescent="0.3">
      <c r="A112" s="32"/>
      <c r="B112" s="32"/>
      <c r="C112" s="32"/>
      <c r="D112" s="32"/>
      <c r="E112" s="32"/>
      <c r="F112" s="32"/>
      <c r="G112" s="32"/>
      <c r="H112" s="32"/>
      <c r="I112" s="32"/>
      <c r="J112" s="32"/>
    </row>
    <row r="113" spans="1:10" x14ac:dyDescent="0.3">
      <c r="A113" s="32"/>
      <c r="B113" s="32"/>
      <c r="C113" s="32"/>
      <c r="D113" s="32"/>
      <c r="E113" s="32"/>
      <c r="F113" s="32"/>
      <c r="G113" s="32"/>
      <c r="H113" s="32"/>
      <c r="I113" s="32"/>
      <c r="J113" s="32"/>
    </row>
    <row r="114" spans="1:10" x14ac:dyDescent="0.3">
      <c r="A114" s="32"/>
      <c r="B114" s="32"/>
      <c r="C114" s="32"/>
      <c r="D114" s="32"/>
      <c r="E114" s="32"/>
      <c r="F114" s="32"/>
      <c r="G114" s="32"/>
      <c r="H114" s="32"/>
      <c r="I114" s="32"/>
      <c r="J114" s="32"/>
    </row>
    <row r="115" spans="1:10" x14ac:dyDescent="0.3">
      <c r="A115" s="32"/>
      <c r="B115" s="32"/>
      <c r="C115" s="32"/>
      <c r="D115" s="32"/>
      <c r="E115" s="32"/>
      <c r="F115" s="32"/>
      <c r="G115" s="32"/>
      <c r="H115" s="32"/>
      <c r="I115" s="32"/>
      <c r="J115" s="32"/>
    </row>
    <row r="116" spans="1:10" x14ac:dyDescent="0.3">
      <c r="A116" s="32"/>
      <c r="B116" s="32"/>
      <c r="C116" s="32"/>
      <c r="D116" s="32"/>
      <c r="E116" s="32"/>
      <c r="F116" s="32"/>
      <c r="G116" s="32"/>
      <c r="H116" s="32"/>
      <c r="I116" s="32"/>
      <c r="J116" s="32"/>
    </row>
    <row r="117" spans="1:10" x14ac:dyDescent="0.3">
      <c r="A117" s="32"/>
      <c r="B117" s="32"/>
      <c r="C117" s="32"/>
      <c r="D117" s="32"/>
      <c r="E117" s="32"/>
      <c r="F117" s="32"/>
      <c r="G117" s="32"/>
      <c r="H117" s="32"/>
      <c r="I117" s="32"/>
      <c r="J117" s="32"/>
    </row>
    <row r="118" spans="1:10" x14ac:dyDescent="0.3">
      <c r="A118" s="32"/>
      <c r="B118" s="32"/>
      <c r="C118" s="32"/>
      <c r="D118" s="32"/>
      <c r="E118" s="32"/>
      <c r="F118" s="32"/>
      <c r="G118" s="32"/>
      <c r="H118" s="32"/>
      <c r="I118" s="32"/>
      <c r="J118" s="32"/>
    </row>
    <row r="119" spans="1:10" x14ac:dyDescent="0.3">
      <c r="A119" s="32"/>
      <c r="B119" s="32"/>
      <c r="C119" s="32"/>
      <c r="D119" s="32"/>
      <c r="E119" s="32"/>
      <c r="F119" s="32"/>
      <c r="G119" s="32"/>
      <c r="H119" s="32"/>
      <c r="I119" s="32"/>
      <c r="J119" s="32"/>
    </row>
    <row r="120" spans="1:10" x14ac:dyDescent="0.3">
      <c r="A120" s="32"/>
      <c r="B120" s="32"/>
      <c r="C120" s="32"/>
      <c r="D120" s="32"/>
      <c r="E120" s="32"/>
      <c r="F120" s="32"/>
      <c r="G120" s="32"/>
      <c r="H120" s="32"/>
      <c r="I120" s="32"/>
      <c r="J120" s="32"/>
    </row>
    <row r="121" spans="1:10" x14ac:dyDescent="0.3">
      <c r="A121" s="32"/>
      <c r="B121" s="32"/>
      <c r="C121" s="32"/>
      <c r="D121" s="32"/>
      <c r="E121" s="32"/>
      <c r="F121" s="32"/>
      <c r="G121" s="32"/>
      <c r="H121" s="32"/>
      <c r="I121" s="32"/>
      <c r="J121" s="32"/>
    </row>
    <row r="122" spans="1:10" x14ac:dyDescent="0.3">
      <c r="A122" s="32"/>
      <c r="B122" s="32"/>
      <c r="C122" s="32"/>
      <c r="D122" s="32"/>
      <c r="E122" s="32"/>
      <c r="F122" s="32"/>
      <c r="G122" s="32"/>
      <c r="H122" s="32"/>
      <c r="I122" s="32"/>
      <c r="J122" s="32"/>
    </row>
    <row r="123" spans="1:10" x14ac:dyDescent="0.3">
      <c r="A123" s="32"/>
      <c r="B123" s="32"/>
      <c r="C123" s="32"/>
      <c r="D123" s="32"/>
      <c r="E123" s="32"/>
      <c r="F123" s="32"/>
      <c r="G123" s="32"/>
      <c r="H123" s="32"/>
      <c r="I123" s="32"/>
      <c r="J123" s="32"/>
    </row>
    <row r="124" spans="1:10" x14ac:dyDescent="0.3">
      <c r="A124" s="32"/>
      <c r="B124" s="32"/>
      <c r="C124" s="32"/>
      <c r="D124" s="32"/>
      <c r="E124" s="32"/>
      <c r="F124" s="32"/>
      <c r="G124" s="32"/>
      <c r="H124" s="32"/>
      <c r="I124" s="32"/>
      <c r="J124" s="32"/>
    </row>
    <row r="125" spans="1:10" x14ac:dyDescent="0.3">
      <c r="A125" s="32"/>
      <c r="B125" s="32"/>
      <c r="C125" s="32"/>
      <c r="D125" s="32"/>
      <c r="E125" s="32"/>
      <c r="F125" s="32"/>
      <c r="G125" s="32"/>
      <c r="H125" s="32"/>
      <c r="I125" s="32"/>
      <c r="J125" s="32"/>
    </row>
    <row r="126" spans="1:10" x14ac:dyDescent="0.3">
      <c r="A126" s="32"/>
      <c r="B126" s="32"/>
      <c r="C126" s="32"/>
      <c r="D126" s="32"/>
      <c r="E126" s="32"/>
      <c r="F126" s="32"/>
      <c r="G126" s="32"/>
      <c r="H126" s="32"/>
      <c r="I126" s="32"/>
      <c r="J126" s="32"/>
    </row>
    <row r="127" spans="1:10" x14ac:dyDescent="0.3">
      <c r="A127" s="32"/>
      <c r="B127" s="32"/>
      <c r="C127" s="32"/>
      <c r="D127" s="32"/>
      <c r="E127" s="32"/>
      <c r="F127" s="32"/>
      <c r="G127" s="32"/>
      <c r="H127" s="32"/>
      <c r="I127" s="32"/>
      <c r="J127" s="32"/>
    </row>
    <row r="128" spans="1:10" x14ac:dyDescent="0.3">
      <c r="A128" s="32"/>
      <c r="B128" s="32"/>
      <c r="C128" s="32"/>
      <c r="D128" s="32"/>
      <c r="E128" s="32"/>
      <c r="F128" s="32"/>
      <c r="G128" s="32"/>
      <c r="H128" s="32"/>
      <c r="I128" s="32"/>
      <c r="J128" s="32"/>
    </row>
    <row r="129" spans="1:10" x14ac:dyDescent="0.3">
      <c r="A129" s="32"/>
      <c r="B129" s="32"/>
      <c r="C129" s="32"/>
      <c r="D129" s="32"/>
      <c r="E129" s="32"/>
      <c r="F129" s="32"/>
      <c r="G129" s="32"/>
      <c r="H129" s="32"/>
      <c r="I129" s="32"/>
      <c r="J129" s="32"/>
    </row>
    <row r="130" spans="1:10" x14ac:dyDescent="0.3">
      <c r="A130" s="32"/>
      <c r="B130" s="32"/>
      <c r="C130" s="32"/>
      <c r="D130" s="32"/>
      <c r="E130" s="32"/>
      <c r="F130" s="32"/>
      <c r="G130" s="32"/>
      <c r="H130" s="32"/>
      <c r="I130" s="32"/>
      <c r="J130" s="32"/>
    </row>
    <row r="131" spans="1:10" x14ac:dyDescent="0.3">
      <c r="A131" s="32"/>
      <c r="B131" s="32"/>
      <c r="C131" s="32"/>
      <c r="D131" s="32"/>
      <c r="E131" s="32"/>
      <c r="F131" s="32"/>
      <c r="G131" s="32"/>
      <c r="H131" s="32"/>
      <c r="I131" s="32"/>
      <c r="J131" s="32"/>
    </row>
    <row r="132" spans="1:10" x14ac:dyDescent="0.3">
      <c r="A132" s="32"/>
      <c r="B132" s="32"/>
      <c r="C132" s="32"/>
      <c r="D132" s="32"/>
      <c r="E132" s="32"/>
      <c r="F132" s="32"/>
      <c r="G132" s="32"/>
      <c r="H132" s="32"/>
      <c r="I132" s="32"/>
      <c r="J132" s="32"/>
    </row>
    <row r="133" spans="1:10" x14ac:dyDescent="0.3">
      <c r="A133" s="32"/>
      <c r="B133" s="32"/>
      <c r="C133" s="32"/>
      <c r="D133" s="32"/>
      <c r="E133" s="32"/>
      <c r="F133" s="32"/>
      <c r="G133" s="32"/>
      <c r="H133" s="32"/>
      <c r="I133" s="32"/>
      <c r="J133" s="32"/>
    </row>
    <row r="134" spans="1:10" x14ac:dyDescent="0.3">
      <c r="A134" s="32"/>
      <c r="B134" s="32"/>
      <c r="C134" s="32"/>
      <c r="D134" s="32"/>
      <c r="E134" s="32"/>
      <c r="F134" s="32"/>
      <c r="G134" s="32"/>
      <c r="H134" s="32"/>
      <c r="I134" s="32"/>
      <c r="J134" s="32"/>
    </row>
    <row r="135" spans="1:10" x14ac:dyDescent="0.3">
      <c r="A135" s="32"/>
      <c r="B135" s="32"/>
      <c r="C135" s="32"/>
      <c r="D135" s="32"/>
      <c r="E135" s="32"/>
      <c r="F135" s="32"/>
      <c r="G135" s="32"/>
      <c r="H135" s="32"/>
      <c r="I135" s="32"/>
      <c r="J135" s="32"/>
    </row>
    <row r="136" spans="1:10" x14ac:dyDescent="0.3">
      <c r="A136" s="32"/>
      <c r="B136" s="32"/>
      <c r="C136" s="32"/>
      <c r="D136" s="32"/>
      <c r="E136" s="32"/>
      <c r="F136" s="32"/>
      <c r="G136" s="32"/>
      <c r="H136" s="32"/>
      <c r="I136" s="32"/>
      <c r="J136" s="32"/>
    </row>
    <row r="137" spans="1:10" x14ac:dyDescent="0.3">
      <c r="A137" s="32"/>
      <c r="B137" s="32"/>
      <c r="C137" s="32"/>
      <c r="D137" s="32"/>
      <c r="E137" s="32"/>
      <c r="F137" s="32"/>
      <c r="G137" s="32"/>
      <c r="H137" s="32"/>
      <c r="I137" s="32"/>
      <c r="J137" s="32"/>
    </row>
    <row r="138" spans="1:10" x14ac:dyDescent="0.3">
      <c r="A138" s="32"/>
      <c r="B138" s="32"/>
      <c r="C138" s="32"/>
      <c r="D138" s="32"/>
      <c r="E138" s="32"/>
      <c r="F138" s="32"/>
      <c r="G138" s="32"/>
      <c r="H138" s="32"/>
      <c r="I138" s="32"/>
      <c r="J138" s="32"/>
    </row>
    <row r="139" spans="1:10" x14ac:dyDescent="0.3">
      <c r="A139" s="32"/>
      <c r="B139" s="32"/>
      <c r="C139" s="32"/>
      <c r="D139" s="32"/>
      <c r="E139" s="32"/>
      <c r="F139" s="32"/>
      <c r="G139" s="32"/>
      <c r="H139" s="32"/>
      <c r="I139" s="32"/>
      <c r="J139" s="32"/>
    </row>
    <row r="140" spans="1:10" x14ac:dyDescent="0.3">
      <c r="A140" s="32"/>
      <c r="B140" s="32"/>
      <c r="C140" s="32"/>
      <c r="D140" s="32"/>
      <c r="E140" s="32"/>
      <c r="F140" s="32"/>
      <c r="G140" s="32"/>
      <c r="H140" s="32"/>
      <c r="I140" s="32"/>
      <c r="J140" s="32"/>
    </row>
    <row r="141" spans="1:10" x14ac:dyDescent="0.3">
      <c r="A141" s="32"/>
      <c r="B141" s="32"/>
      <c r="C141" s="32"/>
      <c r="D141" s="32"/>
      <c r="E141" s="32"/>
      <c r="F141" s="32"/>
      <c r="G141" s="32"/>
      <c r="H141" s="32"/>
      <c r="I141" s="32"/>
      <c r="J141" s="32"/>
    </row>
    <row r="142" spans="1:10" x14ac:dyDescent="0.3">
      <c r="A142" s="32"/>
      <c r="B142" s="32"/>
      <c r="C142" s="32"/>
      <c r="D142" s="32"/>
      <c r="E142" s="32"/>
      <c r="F142" s="32"/>
      <c r="G142" s="32"/>
      <c r="H142" s="32"/>
      <c r="I142" s="32"/>
      <c r="J142" s="32"/>
    </row>
    <row r="143" spans="1:10" x14ac:dyDescent="0.3">
      <c r="A143" s="32"/>
      <c r="B143" s="32"/>
      <c r="C143" s="32"/>
      <c r="D143" s="32"/>
      <c r="E143" s="32"/>
      <c r="F143" s="32"/>
      <c r="G143" s="32"/>
      <c r="H143" s="32"/>
      <c r="I143" s="32"/>
      <c r="J143" s="32"/>
    </row>
    <row r="144" spans="1:10" x14ac:dyDescent="0.3">
      <c r="A144" s="32"/>
      <c r="B144" s="32"/>
      <c r="C144" s="32"/>
      <c r="D144" s="32"/>
      <c r="E144" s="32"/>
      <c r="F144" s="32"/>
      <c r="G144" s="32"/>
      <c r="H144" s="32"/>
      <c r="I144" s="32"/>
      <c r="J144" s="32"/>
    </row>
    <row r="145" spans="1:10" x14ac:dyDescent="0.3">
      <c r="A145" s="32"/>
      <c r="B145" s="32"/>
      <c r="C145" s="32"/>
      <c r="D145" s="32"/>
      <c r="E145" s="32"/>
      <c r="F145" s="32"/>
      <c r="G145" s="32"/>
      <c r="H145" s="32"/>
      <c r="I145" s="32"/>
      <c r="J145" s="32"/>
    </row>
    <row r="146" spans="1:10" x14ac:dyDescent="0.3">
      <c r="A146" s="32"/>
      <c r="B146" s="32"/>
      <c r="C146" s="32"/>
      <c r="D146" s="32"/>
      <c r="E146" s="32"/>
      <c r="F146" s="32"/>
      <c r="G146" s="32"/>
      <c r="H146" s="32"/>
      <c r="I146" s="32"/>
      <c r="J146" s="32"/>
    </row>
    <row r="147" spans="1:10" x14ac:dyDescent="0.3">
      <c r="A147" s="32"/>
      <c r="B147" s="32"/>
      <c r="C147" s="32"/>
      <c r="D147" s="32"/>
      <c r="E147" s="32"/>
      <c r="F147" s="32"/>
      <c r="G147" s="32"/>
      <c r="H147" s="32"/>
      <c r="I147" s="32"/>
      <c r="J147" s="32"/>
    </row>
    <row r="148" spans="1:10" x14ac:dyDescent="0.3">
      <c r="A148" s="32"/>
      <c r="B148" s="32"/>
      <c r="C148" s="32"/>
      <c r="D148" s="32"/>
      <c r="E148" s="32"/>
      <c r="F148" s="32"/>
      <c r="G148" s="32"/>
      <c r="H148" s="32"/>
      <c r="I148" s="32"/>
      <c r="J148" s="32"/>
    </row>
    <row r="149" spans="1:10" x14ac:dyDescent="0.3">
      <c r="A149" s="32"/>
      <c r="B149" s="32"/>
      <c r="C149" s="32"/>
      <c r="D149" s="32"/>
      <c r="E149" s="32"/>
      <c r="F149" s="32"/>
      <c r="G149" s="32"/>
      <c r="H149" s="32"/>
      <c r="I149" s="32"/>
      <c r="J149" s="32"/>
    </row>
    <row r="150" spans="1:10" x14ac:dyDescent="0.3">
      <c r="A150" s="32"/>
      <c r="B150" s="32"/>
      <c r="C150" s="32"/>
      <c r="D150" s="32"/>
      <c r="E150" s="32"/>
      <c r="F150" s="32"/>
      <c r="G150" s="32"/>
      <c r="H150" s="32"/>
      <c r="I150" s="32"/>
      <c r="J150" s="32"/>
    </row>
    <row r="151" spans="1:10" x14ac:dyDescent="0.3">
      <c r="A151" s="32"/>
      <c r="B151" s="32"/>
      <c r="C151" s="32"/>
      <c r="D151" s="32"/>
      <c r="E151" s="32"/>
      <c r="F151" s="32"/>
      <c r="G151" s="32"/>
      <c r="H151" s="32"/>
      <c r="I151" s="32"/>
      <c r="J151" s="32"/>
    </row>
    <row r="152" spans="1:10" x14ac:dyDescent="0.3">
      <c r="A152" s="32"/>
      <c r="B152" s="32"/>
      <c r="C152" s="32"/>
      <c r="D152" s="32"/>
      <c r="E152" s="32"/>
      <c r="F152" s="32"/>
      <c r="G152" s="32"/>
      <c r="H152" s="32"/>
      <c r="I152" s="32"/>
      <c r="J152" s="32"/>
    </row>
    <row r="153" spans="1:10" x14ac:dyDescent="0.3">
      <c r="A153" s="32"/>
      <c r="B153" s="32"/>
      <c r="C153" s="32"/>
      <c r="D153" s="32"/>
      <c r="E153" s="32"/>
      <c r="F153" s="32"/>
      <c r="G153" s="32"/>
      <c r="H153" s="32"/>
      <c r="I153" s="32"/>
      <c r="J153" s="32"/>
    </row>
    <row r="154" spans="1:10" x14ac:dyDescent="0.3">
      <c r="A154" s="32"/>
      <c r="B154" s="32"/>
      <c r="C154" s="32"/>
      <c r="D154" s="32"/>
      <c r="E154" s="32"/>
      <c r="F154" s="32"/>
      <c r="G154" s="32"/>
      <c r="H154" s="32"/>
      <c r="I154" s="32"/>
      <c r="J154" s="32"/>
    </row>
    <row r="155" spans="1:10" x14ac:dyDescent="0.3">
      <c r="A155" s="32"/>
      <c r="B155" s="32"/>
      <c r="C155" s="32"/>
      <c r="D155" s="32"/>
      <c r="E155" s="32"/>
      <c r="F155" s="32"/>
      <c r="G155" s="32"/>
      <c r="H155" s="32"/>
      <c r="I155" s="32"/>
      <c r="J155" s="32"/>
    </row>
    <row r="156" spans="1:10" x14ac:dyDescent="0.3">
      <c r="A156" s="32"/>
      <c r="B156" s="32"/>
      <c r="C156" s="32"/>
      <c r="D156" s="32"/>
      <c r="E156" s="32"/>
      <c r="F156" s="32"/>
      <c r="G156" s="32"/>
      <c r="H156" s="32"/>
      <c r="I156" s="32"/>
      <c r="J156" s="32"/>
    </row>
    <row r="157" spans="1:10" x14ac:dyDescent="0.3">
      <c r="A157" s="32"/>
      <c r="B157" s="32"/>
      <c r="C157" s="32"/>
      <c r="D157" s="32"/>
      <c r="E157" s="32"/>
      <c r="F157" s="32"/>
      <c r="G157" s="32"/>
      <c r="H157" s="32"/>
      <c r="I157" s="32"/>
      <c r="J157" s="32"/>
    </row>
    <row r="158" spans="1:10" x14ac:dyDescent="0.3">
      <c r="A158" s="32"/>
      <c r="B158" s="32"/>
      <c r="C158" s="32"/>
      <c r="D158" s="32"/>
      <c r="E158" s="32"/>
      <c r="F158" s="32"/>
      <c r="G158" s="32"/>
      <c r="H158" s="32"/>
      <c r="I158" s="32"/>
      <c r="J158" s="32"/>
    </row>
    <row r="159" spans="1:10" x14ac:dyDescent="0.3">
      <c r="A159" s="32"/>
      <c r="B159" s="32"/>
      <c r="C159" s="32"/>
      <c r="D159" s="32"/>
      <c r="E159" s="32"/>
      <c r="F159" s="32"/>
      <c r="G159" s="32"/>
      <c r="H159" s="32"/>
      <c r="I159" s="32"/>
      <c r="J159" s="32"/>
    </row>
    <row r="160" spans="1:10" x14ac:dyDescent="0.3">
      <c r="A160" s="32"/>
      <c r="B160" s="32"/>
      <c r="C160" s="32"/>
      <c r="D160" s="32"/>
      <c r="E160" s="32"/>
      <c r="F160" s="32"/>
      <c r="G160" s="32"/>
      <c r="H160" s="32"/>
      <c r="I160" s="32"/>
      <c r="J160" s="32"/>
    </row>
    <row r="161" spans="1:10" x14ac:dyDescent="0.3">
      <c r="A161" s="32"/>
      <c r="B161" s="32"/>
      <c r="C161" s="32"/>
      <c r="D161" s="32"/>
      <c r="E161" s="32"/>
      <c r="F161" s="32"/>
      <c r="G161" s="32"/>
      <c r="H161" s="32"/>
      <c r="I161" s="32"/>
      <c r="J161" s="32"/>
    </row>
    <row r="162" spans="1:10" x14ac:dyDescent="0.3">
      <c r="A162" s="32"/>
      <c r="B162" s="32"/>
      <c r="C162" s="32"/>
      <c r="D162" s="32"/>
      <c r="E162" s="32"/>
      <c r="F162" s="32"/>
      <c r="G162" s="32"/>
      <c r="H162" s="32"/>
      <c r="I162" s="32"/>
      <c r="J162" s="32"/>
    </row>
    <row r="163" spans="1:10" x14ac:dyDescent="0.3">
      <c r="A163" s="32"/>
      <c r="B163" s="32"/>
      <c r="C163" s="32"/>
      <c r="D163" s="32"/>
      <c r="E163" s="32"/>
      <c r="F163" s="32"/>
      <c r="G163" s="32"/>
      <c r="H163" s="32"/>
      <c r="I163" s="32"/>
      <c r="J163" s="32"/>
    </row>
    <row r="164" spans="1:10" x14ac:dyDescent="0.3">
      <c r="A164" s="32"/>
      <c r="B164" s="32"/>
      <c r="C164" s="32"/>
      <c r="D164" s="32"/>
      <c r="E164" s="32"/>
      <c r="F164" s="32"/>
      <c r="G164" s="32"/>
      <c r="H164" s="32"/>
      <c r="I164" s="32"/>
      <c r="J164" s="32"/>
    </row>
    <row r="165" spans="1:10" x14ac:dyDescent="0.3">
      <c r="A165" s="32"/>
      <c r="B165" s="32"/>
      <c r="C165" s="32"/>
      <c r="D165" s="32"/>
      <c r="E165" s="32"/>
      <c r="F165" s="32"/>
      <c r="G165" s="32"/>
      <c r="H165" s="32"/>
      <c r="I165" s="32"/>
      <c r="J165" s="32"/>
    </row>
    <row r="166" spans="1:10" x14ac:dyDescent="0.3">
      <c r="A166" s="32"/>
      <c r="B166" s="32"/>
      <c r="C166" s="32"/>
      <c r="D166" s="32"/>
      <c r="E166" s="32"/>
      <c r="F166" s="32"/>
      <c r="G166" s="32"/>
      <c r="H166" s="32"/>
      <c r="I166" s="32"/>
      <c r="J166" s="32"/>
    </row>
    <row r="167" spans="1:10" x14ac:dyDescent="0.3">
      <c r="A167" s="32"/>
      <c r="B167" s="32"/>
      <c r="C167" s="32"/>
      <c r="D167" s="32"/>
      <c r="E167" s="32"/>
      <c r="F167" s="32"/>
      <c r="G167" s="32"/>
      <c r="H167" s="32"/>
      <c r="I167" s="32"/>
      <c r="J167" s="32"/>
    </row>
    <row r="168" spans="1:10" x14ac:dyDescent="0.3">
      <c r="A168" s="32"/>
      <c r="B168" s="32"/>
      <c r="C168" s="32"/>
      <c r="D168" s="32"/>
      <c r="E168" s="32"/>
      <c r="F168" s="32"/>
      <c r="G168" s="32"/>
      <c r="H168" s="32"/>
      <c r="I168" s="32"/>
      <c r="J168" s="32"/>
    </row>
    <row r="169" spans="1:10" x14ac:dyDescent="0.3">
      <c r="A169" s="32"/>
      <c r="B169" s="32"/>
      <c r="C169" s="32"/>
      <c r="D169" s="32"/>
      <c r="E169" s="32"/>
      <c r="F169" s="32"/>
      <c r="G169" s="32"/>
      <c r="H169" s="32"/>
      <c r="I169" s="32"/>
      <c r="J169" s="32"/>
    </row>
    <row r="170" spans="1:10" x14ac:dyDescent="0.3">
      <c r="A170" s="32"/>
      <c r="B170" s="32"/>
      <c r="C170" s="32"/>
      <c r="D170" s="32"/>
      <c r="E170" s="32"/>
      <c r="F170" s="32"/>
      <c r="G170" s="32"/>
      <c r="H170" s="32"/>
      <c r="I170" s="32"/>
      <c r="J170" s="32"/>
    </row>
    <row r="171" spans="1:10" x14ac:dyDescent="0.3">
      <c r="A171" s="32"/>
      <c r="B171" s="32"/>
      <c r="C171" s="32"/>
      <c r="D171" s="32"/>
      <c r="E171" s="32"/>
      <c r="F171" s="32"/>
      <c r="G171" s="32"/>
      <c r="H171" s="32"/>
      <c r="I171" s="32"/>
      <c r="J171" s="32"/>
    </row>
    <row r="172" spans="1:10" x14ac:dyDescent="0.3">
      <c r="A172" s="32"/>
      <c r="B172" s="32"/>
      <c r="C172" s="32"/>
      <c r="D172" s="32"/>
      <c r="E172" s="32"/>
      <c r="F172" s="32"/>
      <c r="G172" s="32"/>
      <c r="H172" s="32"/>
      <c r="I172" s="32"/>
      <c r="J172" s="32"/>
    </row>
    <row r="173" spans="1:10" x14ac:dyDescent="0.3">
      <c r="A173" s="32"/>
      <c r="B173" s="32"/>
      <c r="C173" s="32"/>
      <c r="D173" s="32"/>
      <c r="E173" s="32"/>
      <c r="F173" s="32"/>
      <c r="G173" s="32"/>
      <c r="H173" s="32"/>
      <c r="I173" s="32"/>
      <c r="J173" s="32"/>
    </row>
    <row r="174" spans="1:10" x14ac:dyDescent="0.3">
      <c r="A174" s="32"/>
      <c r="B174" s="32"/>
      <c r="C174" s="32"/>
      <c r="D174" s="32"/>
      <c r="E174" s="32"/>
      <c r="F174" s="32"/>
      <c r="G174" s="32"/>
      <c r="H174" s="32"/>
      <c r="I174" s="32"/>
      <c r="J174" s="32"/>
    </row>
    <row r="175" spans="1:10" x14ac:dyDescent="0.3">
      <c r="A175" s="32"/>
      <c r="B175" s="32"/>
      <c r="C175" s="32"/>
      <c r="D175" s="32"/>
      <c r="E175" s="32"/>
      <c r="F175" s="32"/>
      <c r="G175" s="32"/>
      <c r="H175" s="32"/>
      <c r="I175" s="32"/>
      <c r="J175" s="32"/>
    </row>
    <row r="176" spans="1:10" x14ac:dyDescent="0.3">
      <c r="A176" s="32"/>
      <c r="B176" s="32"/>
      <c r="C176" s="32"/>
      <c r="D176" s="32"/>
      <c r="E176" s="32"/>
      <c r="F176" s="32"/>
      <c r="G176" s="32"/>
      <c r="H176" s="32"/>
      <c r="I176" s="32"/>
      <c r="J176" s="32"/>
    </row>
    <row r="177" spans="1:10" x14ac:dyDescent="0.3">
      <c r="A177" s="32"/>
      <c r="B177" s="32"/>
      <c r="C177" s="32"/>
      <c r="D177" s="32"/>
      <c r="E177" s="32"/>
      <c r="F177" s="32"/>
      <c r="G177" s="32"/>
      <c r="H177" s="32"/>
      <c r="I177" s="32"/>
      <c r="J177" s="32"/>
    </row>
    <row r="178" spans="1:10" x14ac:dyDescent="0.3">
      <c r="A178" s="32"/>
      <c r="B178" s="32"/>
      <c r="C178" s="32"/>
      <c r="D178" s="32"/>
      <c r="E178" s="32"/>
      <c r="F178" s="32"/>
      <c r="G178" s="32"/>
      <c r="H178" s="32"/>
      <c r="I178" s="32"/>
      <c r="J178" s="32"/>
    </row>
    <row r="179" spans="1:10" x14ac:dyDescent="0.3">
      <c r="A179" s="32"/>
      <c r="B179" s="32"/>
      <c r="C179" s="32"/>
      <c r="D179" s="32"/>
      <c r="E179" s="32"/>
      <c r="F179" s="32"/>
      <c r="G179" s="32"/>
      <c r="H179" s="32"/>
      <c r="I179" s="32"/>
      <c r="J179" s="32"/>
    </row>
    <row r="180" spans="1:10" x14ac:dyDescent="0.3">
      <c r="A180" s="32"/>
      <c r="B180" s="32"/>
      <c r="C180" s="32"/>
      <c r="D180" s="32"/>
      <c r="E180" s="32"/>
      <c r="F180" s="32"/>
      <c r="G180" s="32"/>
      <c r="H180" s="32"/>
      <c r="I180" s="32"/>
      <c r="J180" s="32"/>
    </row>
    <row r="181" spans="1:10" x14ac:dyDescent="0.3">
      <c r="A181" s="32"/>
      <c r="B181" s="32"/>
      <c r="C181" s="32"/>
      <c r="D181" s="32"/>
      <c r="E181" s="32"/>
      <c r="F181" s="32"/>
      <c r="G181" s="32"/>
      <c r="H181" s="32"/>
      <c r="I181" s="32"/>
      <c r="J181" s="32"/>
    </row>
    <row r="182" spans="1:10" x14ac:dyDescent="0.3">
      <c r="A182" s="32"/>
      <c r="B182" s="32"/>
      <c r="C182" s="32"/>
      <c r="D182" s="32"/>
      <c r="E182" s="32"/>
      <c r="F182" s="32"/>
      <c r="G182" s="32"/>
      <c r="H182" s="32"/>
      <c r="I182" s="32"/>
      <c r="J182" s="32"/>
    </row>
    <row r="183" spans="1:10" x14ac:dyDescent="0.3">
      <c r="A183" s="32"/>
      <c r="B183" s="32"/>
      <c r="C183" s="32"/>
      <c r="D183" s="32"/>
      <c r="E183" s="32"/>
      <c r="F183" s="32"/>
      <c r="G183" s="32"/>
      <c r="H183" s="32"/>
      <c r="I183" s="32"/>
      <c r="J183" s="32"/>
    </row>
    <row r="184" spans="1:10" x14ac:dyDescent="0.3">
      <c r="A184" s="32"/>
      <c r="B184" s="32"/>
      <c r="C184" s="32"/>
      <c r="D184" s="32"/>
      <c r="E184" s="32"/>
      <c r="F184" s="32"/>
      <c r="G184" s="32"/>
      <c r="H184" s="32"/>
      <c r="I184" s="32"/>
      <c r="J184" s="32"/>
    </row>
    <row r="185" spans="1:10" x14ac:dyDescent="0.3">
      <c r="A185" s="32"/>
      <c r="B185" s="32"/>
      <c r="C185" s="32"/>
      <c r="D185" s="32"/>
      <c r="E185" s="32"/>
      <c r="F185" s="32"/>
      <c r="G185" s="32"/>
      <c r="H185" s="32"/>
      <c r="I185" s="32"/>
      <c r="J185" s="32"/>
    </row>
    <row r="186" spans="1:10" x14ac:dyDescent="0.3">
      <c r="A186" s="32"/>
      <c r="B186" s="32"/>
      <c r="C186" s="32"/>
      <c r="D186" s="32"/>
      <c r="E186" s="32"/>
      <c r="F186" s="32"/>
      <c r="G186" s="32"/>
      <c r="H186" s="32"/>
      <c r="I186" s="32"/>
      <c r="J186" s="32"/>
    </row>
    <row r="187" spans="1:10" x14ac:dyDescent="0.3">
      <c r="A187" s="32"/>
      <c r="B187" s="32"/>
      <c r="C187" s="32"/>
      <c r="D187" s="32"/>
      <c r="E187" s="32"/>
      <c r="F187" s="32"/>
      <c r="G187" s="32"/>
      <c r="H187" s="32"/>
      <c r="I187" s="32"/>
      <c r="J187" s="32"/>
    </row>
    <row r="188" spans="1:10" x14ac:dyDescent="0.3">
      <c r="A188" s="32"/>
      <c r="B188" s="32"/>
      <c r="C188" s="32"/>
      <c r="D188" s="32"/>
      <c r="E188" s="32"/>
      <c r="F188" s="32"/>
      <c r="G188" s="32"/>
      <c r="H188" s="32"/>
      <c r="I188" s="32"/>
      <c r="J188" s="32"/>
    </row>
    <row r="189" spans="1:10" x14ac:dyDescent="0.3">
      <c r="A189" s="32"/>
      <c r="B189" s="32"/>
      <c r="C189" s="32"/>
      <c r="D189" s="32"/>
      <c r="E189" s="32"/>
      <c r="F189" s="32"/>
      <c r="G189" s="32"/>
      <c r="H189" s="32"/>
      <c r="I189" s="32"/>
      <c r="J189" s="32"/>
    </row>
    <row r="190" spans="1:10" x14ac:dyDescent="0.3">
      <c r="A190" s="32"/>
      <c r="B190" s="32"/>
      <c r="C190" s="32"/>
      <c r="D190" s="32"/>
      <c r="E190" s="32"/>
      <c r="F190" s="32"/>
      <c r="G190" s="32"/>
      <c r="H190" s="32"/>
      <c r="I190" s="32"/>
      <c r="J190" s="32"/>
    </row>
    <row r="191" spans="1:10" x14ac:dyDescent="0.3">
      <c r="A191" s="32"/>
      <c r="B191" s="32"/>
      <c r="C191" s="32"/>
      <c r="D191" s="32"/>
      <c r="E191" s="32"/>
      <c r="F191" s="32"/>
      <c r="G191" s="32"/>
      <c r="H191" s="32"/>
      <c r="I191" s="32"/>
      <c r="J191" s="32"/>
    </row>
    <row r="192" spans="1:10" x14ac:dyDescent="0.3">
      <c r="A192" s="32"/>
      <c r="B192" s="32"/>
      <c r="C192" s="32"/>
      <c r="D192" s="32"/>
      <c r="E192" s="32"/>
      <c r="F192" s="32"/>
      <c r="G192" s="32"/>
      <c r="H192" s="32"/>
      <c r="I192" s="32"/>
      <c r="J192" s="32"/>
    </row>
    <row r="193" spans="1:10" x14ac:dyDescent="0.3">
      <c r="A193" s="32"/>
      <c r="B193" s="32"/>
      <c r="C193" s="32"/>
      <c r="D193" s="32"/>
      <c r="E193" s="32"/>
      <c r="F193" s="32"/>
      <c r="G193" s="32"/>
      <c r="H193" s="32"/>
      <c r="I193" s="32"/>
      <c r="J193" s="32"/>
    </row>
    <row r="194" spans="1:10" x14ac:dyDescent="0.3">
      <c r="A194" s="32"/>
      <c r="B194" s="32"/>
      <c r="C194" s="32"/>
      <c r="D194" s="32"/>
      <c r="E194" s="32"/>
      <c r="F194" s="32"/>
      <c r="G194" s="32"/>
      <c r="H194" s="32"/>
      <c r="I194" s="32"/>
      <c r="J194" s="32"/>
    </row>
    <row r="195" spans="1:10" x14ac:dyDescent="0.3">
      <c r="A195" s="32"/>
      <c r="B195" s="32"/>
      <c r="C195" s="32"/>
      <c r="D195" s="32"/>
      <c r="E195" s="32"/>
      <c r="F195" s="32"/>
      <c r="G195" s="32"/>
      <c r="H195" s="32"/>
      <c r="I195" s="32"/>
      <c r="J195" s="32"/>
    </row>
    <row r="196" spans="1:10" x14ac:dyDescent="0.3">
      <c r="A196" s="32"/>
      <c r="B196" s="32"/>
      <c r="C196" s="32"/>
      <c r="D196" s="32"/>
      <c r="E196" s="32"/>
      <c r="F196" s="32"/>
      <c r="G196" s="32"/>
      <c r="H196" s="32"/>
      <c r="I196" s="32"/>
      <c r="J196" s="32"/>
    </row>
    <row r="197" spans="1:10" x14ac:dyDescent="0.3">
      <c r="A197" s="32"/>
      <c r="B197" s="32"/>
      <c r="C197" s="32"/>
      <c r="D197" s="32"/>
      <c r="E197" s="32"/>
      <c r="F197" s="32"/>
      <c r="G197" s="32"/>
      <c r="H197" s="32"/>
      <c r="I197" s="32"/>
      <c r="J197" s="32"/>
    </row>
    <row r="198" spans="1:10" x14ac:dyDescent="0.3">
      <c r="A198" s="32"/>
      <c r="B198" s="32"/>
      <c r="C198" s="32"/>
      <c r="D198" s="32"/>
      <c r="E198" s="32"/>
      <c r="F198" s="32"/>
      <c r="G198" s="32"/>
      <c r="H198" s="32"/>
      <c r="I198" s="32"/>
      <c r="J198" s="32"/>
    </row>
    <row r="199" spans="1:10" x14ac:dyDescent="0.3">
      <c r="A199" s="32"/>
      <c r="B199" s="32"/>
      <c r="C199" s="32"/>
      <c r="D199" s="32"/>
      <c r="E199" s="32"/>
      <c r="F199" s="32"/>
      <c r="G199" s="32"/>
      <c r="H199" s="32"/>
      <c r="I199" s="32"/>
      <c r="J199" s="32"/>
    </row>
    <row r="200" spans="1:10" x14ac:dyDescent="0.3">
      <c r="A200" s="32"/>
      <c r="B200" s="32"/>
      <c r="C200" s="32"/>
      <c r="D200" s="32"/>
      <c r="E200" s="32"/>
      <c r="F200" s="32"/>
      <c r="G200" s="32"/>
      <c r="H200" s="32"/>
      <c r="I200" s="32"/>
      <c r="J200" s="32"/>
    </row>
    <row r="201" spans="1:10" x14ac:dyDescent="0.3">
      <c r="A201" s="32"/>
      <c r="B201" s="32"/>
      <c r="C201" s="32"/>
      <c r="D201" s="32"/>
      <c r="E201" s="32"/>
      <c r="F201" s="32"/>
      <c r="G201" s="32"/>
      <c r="H201" s="32"/>
      <c r="I201" s="32"/>
      <c r="J201" s="32"/>
    </row>
    <row r="202" spans="1:10" x14ac:dyDescent="0.3">
      <c r="A202" s="32"/>
      <c r="B202" s="32"/>
      <c r="C202" s="32"/>
      <c r="D202" s="32"/>
      <c r="E202" s="32"/>
      <c r="F202" s="32"/>
      <c r="G202" s="32"/>
      <c r="H202" s="32"/>
      <c r="I202" s="32"/>
      <c r="J202" s="32"/>
    </row>
    <row r="203" spans="1:10" x14ac:dyDescent="0.3">
      <c r="A203" s="32"/>
      <c r="B203" s="32"/>
      <c r="C203" s="32"/>
      <c r="D203" s="32"/>
      <c r="E203" s="32"/>
      <c r="F203" s="32"/>
      <c r="G203" s="32"/>
      <c r="H203" s="32"/>
      <c r="I203" s="32"/>
      <c r="J203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07A9-0722-4C35-8464-A7D990631242}">
  <sheetPr codeName="Sheet7"/>
  <dimension ref="A1:M605"/>
  <sheetViews>
    <sheetView workbookViewId="0">
      <selection activeCell="F6" sqref="F6"/>
    </sheetView>
  </sheetViews>
  <sheetFormatPr defaultRowHeight="14.4" x14ac:dyDescent="0.3"/>
  <cols>
    <col min="1" max="1" width="10.5546875" customWidth="1"/>
    <col min="2" max="2" width="12.109375" customWidth="1"/>
    <col min="4" max="4" width="11.6640625" customWidth="1"/>
    <col min="5" max="5" width="20.77734375" customWidth="1"/>
    <col min="7" max="7" width="18.88671875" customWidth="1"/>
    <col min="8" max="8" width="18.77734375" customWidth="1"/>
    <col min="9" max="9" width="18.33203125" customWidth="1"/>
    <col min="10" max="10" width="20.109375" customWidth="1"/>
    <col min="11" max="11" width="12.109375" customWidth="1"/>
    <col min="12" max="12" width="13.109375" customWidth="1"/>
    <col min="13" max="13" width="12" customWidth="1"/>
  </cols>
  <sheetData>
    <row r="1" spans="1:13" ht="33.6" customHeight="1" x14ac:dyDescent="0.3">
      <c r="E1" s="109" t="s">
        <v>58</v>
      </c>
      <c r="F1" s="110"/>
      <c r="G1" s="110"/>
      <c r="H1" s="110"/>
      <c r="I1" s="110"/>
    </row>
    <row r="5" spans="1:13" ht="18" x14ac:dyDescent="0.3">
      <c r="A5" s="65" t="s">
        <v>48</v>
      </c>
      <c r="B5" s="65" t="s">
        <v>6</v>
      </c>
      <c r="C5" s="65" t="s">
        <v>23</v>
      </c>
      <c r="D5" s="65" t="s">
        <v>5</v>
      </c>
      <c r="E5" s="65" t="s">
        <v>49</v>
      </c>
      <c r="F5" s="65" t="s">
        <v>50</v>
      </c>
      <c r="G5" s="65" t="s">
        <v>51</v>
      </c>
      <c r="H5" s="65" t="s">
        <v>52</v>
      </c>
      <c r="I5" s="65" t="s">
        <v>53</v>
      </c>
      <c r="J5" s="65" t="s">
        <v>54</v>
      </c>
      <c r="K5" s="65" t="s">
        <v>55</v>
      </c>
      <c r="L5" s="65" t="s">
        <v>56</v>
      </c>
      <c r="M5" s="65" t="s">
        <v>57</v>
      </c>
    </row>
    <row r="6" spans="1:13" x14ac:dyDescent="0.3">
      <c r="A6" s="66">
        <f>'STUDENT DETAILS'!A3</f>
        <v>2</v>
      </c>
      <c r="B6" s="66" t="str">
        <f>'STUDENT DETAILS'!B3</f>
        <v>honey</v>
      </c>
      <c r="C6" s="66" t="str">
        <f>'STUDENT DETAILS'!C3</f>
        <v>6th</v>
      </c>
      <c r="D6" s="66" t="str">
        <f>'STUDENT DETAILS'!D3</f>
        <v>MALE</v>
      </c>
      <c r="E6" s="94">
        <f>'STUDENT DETAILS'!E3</f>
        <v>36558</v>
      </c>
      <c r="F6" s="66">
        <f>IF(C6="LKG",2000,IF(C6="HKG",3000,IF(C6="1st",4000,IF(C6="2nd",5000,IF(C6="3rd",6000,IF(C6="4th",7000,IF(C6="5th",8000,IF(C6="6th",9000,IF(C6="7th",10000,IF(C6="8th",10500,IF(C6="9th",10700,IF(C6="10th",11000,IF(C6="",0)))))))))))))</f>
        <v>9000</v>
      </c>
      <c r="G6" s="66">
        <v>1000</v>
      </c>
      <c r="H6" s="66">
        <v>1000</v>
      </c>
      <c r="I6" s="66">
        <v>1000</v>
      </c>
      <c r="J6" s="66">
        <v>1000</v>
      </c>
      <c r="K6" s="66">
        <f>SUM(G6:J6)</f>
        <v>4000</v>
      </c>
      <c r="L6" s="66">
        <f>F6-K6</f>
        <v>5000</v>
      </c>
      <c r="M6" s="66" t="str">
        <f>IF(K6&gt;=F6,"COMPLETED","UNPAID")</f>
        <v>UNPAID</v>
      </c>
    </row>
    <row r="7" spans="1:13" x14ac:dyDescent="0.3">
      <c r="A7" s="66">
        <f>'STUDENT DETAILS'!A4</f>
        <v>3</v>
      </c>
      <c r="B7" s="66" t="str">
        <f>'STUDENT DETAILS'!B4</f>
        <v>sunny</v>
      </c>
      <c r="C7" s="66" t="str">
        <f>'STUDENT DETAILS'!C4</f>
        <v>3th</v>
      </c>
      <c r="D7" s="66" t="str">
        <f>'STUDENT DETAILS'!D4</f>
        <v>MALE</v>
      </c>
      <c r="E7" s="94">
        <f>'STUDENT DETAILS'!E4</f>
        <v>41255</v>
      </c>
      <c r="F7" s="66" t="b">
        <f t="shared" ref="F7:F70" si="0">IF(C7="LKG",2000,IF(C7="HKG",3000,IF(C7="1st",4000,IF(C7="2nd",5000,IF(C7="3rd",6000,IF(C7="4th",7000,IF(C7="5th",8000,IF(C7="6th",9000,IF(C7="7th",10000,IF(C7="8th",10500,IF(C7="9th",10700,IF(C7="10th",11000,IF(C7="",0)))))))))))))</f>
        <v>0</v>
      </c>
      <c r="G7" s="66"/>
      <c r="H7" s="66"/>
      <c r="I7" s="66"/>
      <c r="J7" s="66"/>
      <c r="K7" s="66">
        <f t="shared" ref="K7:K70" si="1">SUM(G7:J7)</f>
        <v>0</v>
      </c>
      <c r="L7" s="66">
        <f t="shared" ref="L7:L70" si="2">F7-K7</f>
        <v>0</v>
      </c>
      <c r="M7" s="66" t="str">
        <f t="shared" ref="M7:M70" si="3">IF(K7&gt;=F7,"COMPLETED","UNPAID")</f>
        <v>UNPAID</v>
      </c>
    </row>
    <row r="8" spans="1:13" x14ac:dyDescent="0.3">
      <c r="A8" s="66">
        <f>'STUDENT DETAILS'!A5</f>
        <v>0</v>
      </c>
      <c r="B8" s="66">
        <f>'STUDENT DETAILS'!B5</f>
        <v>0</v>
      </c>
      <c r="C8" s="66" t="str">
        <f>'STUDENT DETAILS'!C5</f>
        <v>HKG</v>
      </c>
      <c r="D8" s="66" t="str">
        <f>'STUDENT DETAILS'!D5</f>
        <v>MALE</v>
      </c>
      <c r="E8" s="94">
        <f>'STUDENT DETAILS'!E5</f>
        <v>0</v>
      </c>
      <c r="F8" s="66">
        <f t="shared" si="0"/>
        <v>3000</v>
      </c>
      <c r="G8" s="66"/>
      <c r="H8" s="66"/>
      <c r="I8" s="66"/>
      <c r="J8" s="66"/>
      <c r="K8" s="66">
        <f t="shared" si="1"/>
        <v>0</v>
      </c>
      <c r="L8" s="66">
        <f t="shared" si="2"/>
        <v>3000</v>
      </c>
      <c r="M8" s="66" t="str">
        <f t="shared" si="3"/>
        <v>UNPAID</v>
      </c>
    </row>
    <row r="9" spans="1:13" x14ac:dyDescent="0.3">
      <c r="A9" s="66">
        <f>'STUDENT DETAILS'!A6</f>
        <v>0</v>
      </c>
      <c r="B9" s="66">
        <f>'STUDENT DETAILS'!B6</f>
        <v>0</v>
      </c>
      <c r="C9" s="66" t="str">
        <f>'STUDENT DETAILS'!C6</f>
        <v>1st</v>
      </c>
      <c r="D9" s="66" t="str">
        <f>'STUDENT DETAILS'!D6</f>
        <v>FEMALE</v>
      </c>
      <c r="E9" s="94">
        <f>'STUDENT DETAILS'!E6</f>
        <v>0</v>
      </c>
      <c r="F9" s="66">
        <f t="shared" si="0"/>
        <v>4000</v>
      </c>
      <c r="G9" s="66"/>
      <c r="H9" s="66"/>
      <c r="I9" s="66"/>
      <c r="J9" s="66"/>
      <c r="K9" s="66">
        <f t="shared" si="1"/>
        <v>0</v>
      </c>
      <c r="L9" s="66">
        <f t="shared" si="2"/>
        <v>4000</v>
      </c>
      <c r="M9" s="66" t="str">
        <f t="shared" si="3"/>
        <v>UNPAID</v>
      </c>
    </row>
    <row r="10" spans="1:13" x14ac:dyDescent="0.3">
      <c r="A10" s="66">
        <f>'STUDENT DETAILS'!A7</f>
        <v>0</v>
      </c>
      <c r="B10" s="66">
        <f>'STUDENT DETAILS'!B7</f>
        <v>0</v>
      </c>
      <c r="C10" s="66" t="str">
        <f>'STUDENT DETAILS'!C7</f>
        <v>2nd</v>
      </c>
      <c r="D10" s="66" t="str">
        <f>'STUDENT DETAILS'!D7</f>
        <v>MALE</v>
      </c>
      <c r="E10" s="94">
        <f>'STUDENT DETAILS'!E7</f>
        <v>0</v>
      </c>
      <c r="F10" s="66">
        <f t="shared" si="0"/>
        <v>5000</v>
      </c>
      <c r="G10" s="66"/>
      <c r="H10" s="66"/>
      <c r="I10" s="66"/>
      <c r="J10" s="66"/>
      <c r="K10" s="66">
        <f t="shared" si="1"/>
        <v>0</v>
      </c>
      <c r="L10" s="66">
        <f t="shared" si="2"/>
        <v>5000</v>
      </c>
      <c r="M10" s="66" t="str">
        <f t="shared" si="3"/>
        <v>UNPAID</v>
      </c>
    </row>
    <row r="11" spans="1:13" x14ac:dyDescent="0.3">
      <c r="A11" s="66">
        <f>'STUDENT DETAILS'!A8</f>
        <v>0</v>
      </c>
      <c r="B11" s="66">
        <f>'STUDENT DETAILS'!B8</f>
        <v>0</v>
      </c>
      <c r="C11" s="66" t="str">
        <f>'STUDENT DETAILS'!C8</f>
        <v>3th</v>
      </c>
      <c r="D11" s="66" t="str">
        <f>'STUDENT DETAILS'!D8</f>
        <v>FEMALE</v>
      </c>
      <c r="E11" s="94">
        <f>'STUDENT DETAILS'!E8</f>
        <v>0</v>
      </c>
      <c r="F11" s="66" t="b">
        <f t="shared" si="0"/>
        <v>0</v>
      </c>
      <c r="G11" s="66"/>
      <c r="H11" s="66"/>
      <c r="I11" s="66"/>
      <c r="J11" s="66"/>
      <c r="K11" s="66">
        <f t="shared" si="1"/>
        <v>0</v>
      </c>
      <c r="L11" s="66">
        <f t="shared" si="2"/>
        <v>0</v>
      </c>
      <c r="M11" s="66" t="str">
        <f t="shared" si="3"/>
        <v>UNPAID</v>
      </c>
    </row>
    <row r="12" spans="1:13" x14ac:dyDescent="0.3">
      <c r="A12" s="66">
        <f>'STUDENT DETAILS'!A9</f>
        <v>0</v>
      </c>
      <c r="B12" s="66">
        <f>'STUDENT DETAILS'!B9</f>
        <v>0</v>
      </c>
      <c r="C12" s="66" t="str">
        <f>'STUDENT DETAILS'!C9</f>
        <v>4th</v>
      </c>
      <c r="D12" s="66" t="str">
        <f>'STUDENT DETAILS'!D9</f>
        <v>MALE</v>
      </c>
      <c r="E12" s="94">
        <f>'STUDENT DETAILS'!E9</f>
        <v>0</v>
      </c>
      <c r="F12" s="66">
        <f t="shared" si="0"/>
        <v>7000</v>
      </c>
      <c r="G12" s="66"/>
      <c r="H12" s="66"/>
      <c r="I12" s="66"/>
      <c r="J12" s="66"/>
      <c r="K12" s="66">
        <f t="shared" si="1"/>
        <v>0</v>
      </c>
      <c r="L12" s="66">
        <f t="shared" si="2"/>
        <v>7000</v>
      </c>
      <c r="M12" s="66" t="str">
        <f t="shared" si="3"/>
        <v>UNPAID</v>
      </c>
    </row>
    <row r="13" spans="1:13" x14ac:dyDescent="0.3">
      <c r="A13" s="66">
        <f>'STUDENT DETAILS'!A10</f>
        <v>0</v>
      </c>
      <c r="B13" s="66">
        <f>'STUDENT DETAILS'!B10</f>
        <v>0</v>
      </c>
      <c r="C13" s="66" t="str">
        <f>'STUDENT DETAILS'!C10</f>
        <v>5th</v>
      </c>
      <c r="D13" s="66" t="str">
        <f>'STUDENT DETAILS'!D10</f>
        <v>FEMALE</v>
      </c>
      <c r="E13" s="94">
        <f>'STUDENT DETAILS'!E10</f>
        <v>0</v>
      </c>
      <c r="F13" s="66">
        <f t="shared" si="0"/>
        <v>8000</v>
      </c>
      <c r="G13" s="66"/>
      <c r="H13" s="66"/>
      <c r="I13" s="66"/>
      <c r="J13" s="66"/>
      <c r="K13" s="66">
        <f t="shared" si="1"/>
        <v>0</v>
      </c>
      <c r="L13" s="66">
        <f t="shared" si="2"/>
        <v>8000</v>
      </c>
      <c r="M13" s="66" t="str">
        <f t="shared" si="3"/>
        <v>UNPAID</v>
      </c>
    </row>
    <row r="14" spans="1:13" x14ac:dyDescent="0.3">
      <c r="A14" s="66">
        <f>'STUDENT DETAILS'!A11</f>
        <v>0</v>
      </c>
      <c r="B14" s="66">
        <f>'STUDENT DETAILS'!B11</f>
        <v>0</v>
      </c>
      <c r="C14" s="66" t="str">
        <f>'STUDENT DETAILS'!C11</f>
        <v>7th</v>
      </c>
      <c r="D14" s="66" t="str">
        <f>'STUDENT DETAILS'!D11</f>
        <v>MALE</v>
      </c>
      <c r="E14" s="94">
        <f>'STUDENT DETAILS'!E11</f>
        <v>0</v>
      </c>
      <c r="F14" s="66">
        <f t="shared" si="0"/>
        <v>10000</v>
      </c>
      <c r="G14" s="66"/>
      <c r="H14" s="66"/>
      <c r="I14" s="66"/>
      <c r="J14" s="66"/>
      <c r="K14" s="66">
        <f t="shared" si="1"/>
        <v>0</v>
      </c>
      <c r="L14" s="66">
        <f t="shared" si="2"/>
        <v>10000</v>
      </c>
      <c r="M14" s="66" t="str">
        <f t="shared" si="3"/>
        <v>UNPAID</v>
      </c>
    </row>
    <row r="15" spans="1:13" x14ac:dyDescent="0.3">
      <c r="A15" s="66">
        <f>'STUDENT DETAILS'!A12</f>
        <v>0</v>
      </c>
      <c r="B15" s="66">
        <f>'STUDENT DETAILS'!B12</f>
        <v>0</v>
      </c>
      <c r="C15" s="66" t="str">
        <f>'STUDENT DETAILS'!C12</f>
        <v>8th</v>
      </c>
      <c r="D15" s="66" t="str">
        <f>'STUDENT DETAILS'!D12</f>
        <v>FEMALE</v>
      </c>
      <c r="E15" s="94">
        <f>'STUDENT DETAILS'!E12</f>
        <v>0</v>
      </c>
      <c r="F15" s="66">
        <f t="shared" si="0"/>
        <v>10500</v>
      </c>
      <c r="G15" s="66"/>
      <c r="H15" s="66"/>
      <c r="I15" s="66"/>
      <c r="J15" s="66"/>
      <c r="K15" s="66">
        <f t="shared" si="1"/>
        <v>0</v>
      </c>
      <c r="L15" s="66">
        <f t="shared" si="2"/>
        <v>10500</v>
      </c>
      <c r="M15" s="66" t="str">
        <f t="shared" si="3"/>
        <v>UNPAID</v>
      </c>
    </row>
    <row r="16" spans="1:13" x14ac:dyDescent="0.3">
      <c r="A16" s="66">
        <f>'STUDENT DETAILS'!A13</f>
        <v>0</v>
      </c>
      <c r="B16" s="66">
        <f>'STUDENT DETAILS'!B13</f>
        <v>0</v>
      </c>
      <c r="C16" s="66" t="str">
        <f>'STUDENT DETAILS'!C13</f>
        <v>9th</v>
      </c>
      <c r="D16" s="66" t="str">
        <f>'STUDENT DETAILS'!D13</f>
        <v>MALE</v>
      </c>
      <c r="E16" s="94">
        <f>'STUDENT DETAILS'!E13</f>
        <v>0</v>
      </c>
      <c r="F16" s="66">
        <f t="shared" si="0"/>
        <v>10700</v>
      </c>
      <c r="G16" s="66"/>
      <c r="H16" s="66"/>
      <c r="I16" s="66"/>
      <c r="J16" s="66"/>
      <c r="K16" s="66">
        <f t="shared" si="1"/>
        <v>0</v>
      </c>
      <c r="L16" s="66">
        <f t="shared" si="2"/>
        <v>10700</v>
      </c>
      <c r="M16" s="66" t="str">
        <f t="shared" si="3"/>
        <v>UNPAID</v>
      </c>
    </row>
    <row r="17" spans="1:13" x14ac:dyDescent="0.3">
      <c r="A17" s="66">
        <f>'STUDENT DETAILS'!A14</f>
        <v>0</v>
      </c>
      <c r="B17" s="66">
        <f>'STUDENT DETAILS'!B14</f>
        <v>0</v>
      </c>
      <c r="C17" s="66" t="str">
        <f>'STUDENT DETAILS'!C14</f>
        <v>10th</v>
      </c>
      <c r="D17" s="66" t="str">
        <f>'STUDENT DETAILS'!D14</f>
        <v>FEMALE</v>
      </c>
      <c r="E17" s="94">
        <f>'STUDENT DETAILS'!E14</f>
        <v>0</v>
      </c>
      <c r="F17" s="66">
        <f t="shared" si="0"/>
        <v>11000</v>
      </c>
      <c r="G17" s="66"/>
      <c r="H17" s="66"/>
      <c r="I17" s="66"/>
      <c r="J17" s="66"/>
      <c r="K17" s="66">
        <f t="shared" si="1"/>
        <v>0</v>
      </c>
      <c r="L17" s="66">
        <f t="shared" si="2"/>
        <v>11000</v>
      </c>
      <c r="M17" s="66" t="str">
        <f t="shared" si="3"/>
        <v>UNPAID</v>
      </c>
    </row>
    <row r="18" spans="1:13" x14ac:dyDescent="0.3">
      <c r="A18" s="66">
        <f>'STUDENT DETAILS'!A15</f>
        <v>0</v>
      </c>
      <c r="B18" s="66">
        <f>'STUDENT DETAILS'!B15</f>
        <v>0</v>
      </c>
      <c r="C18" s="66">
        <f>'STUDENT DETAILS'!C15</f>
        <v>0</v>
      </c>
      <c r="D18" s="66">
        <f>'STUDENT DETAILS'!D15</f>
        <v>0</v>
      </c>
      <c r="E18" s="94">
        <f>'STUDENT DETAILS'!E15</f>
        <v>0</v>
      </c>
      <c r="F18" s="66" t="b">
        <f t="shared" si="0"/>
        <v>0</v>
      </c>
      <c r="G18" s="66"/>
      <c r="H18" s="66"/>
      <c r="I18" s="66"/>
      <c r="J18" s="66"/>
      <c r="K18" s="66">
        <f t="shared" si="1"/>
        <v>0</v>
      </c>
      <c r="L18" s="66">
        <f t="shared" si="2"/>
        <v>0</v>
      </c>
      <c r="M18" s="66" t="str">
        <f t="shared" si="3"/>
        <v>UNPAID</v>
      </c>
    </row>
    <row r="19" spans="1:13" x14ac:dyDescent="0.3">
      <c r="A19" s="66">
        <f>'STUDENT DETAILS'!A16</f>
        <v>0</v>
      </c>
      <c r="B19" s="66">
        <f>'STUDENT DETAILS'!B16</f>
        <v>0</v>
      </c>
      <c r="C19" s="66">
        <f>'STUDENT DETAILS'!C16</f>
        <v>0</v>
      </c>
      <c r="D19" s="66">
        <f>'STUDENT DETAILS'!D16</f>
        <v>0</v>
      </c>
      <c r="E19" s="94">
        <f>'STUDENT DETAILS'!E16</f>
        <v>0</v>
      </c>
      <c r="F19" s="66" t="b">
        <f t="shared" si="0"/>
        <v>0</v>
      </c>
      <c r="G19" s="66"/>
      <c r="H19" s="66"/>
      <c r="I19" s="66"/>
      <c r="J19" s="66"/>
      <c r="K19" s="66">
        <f t="shared" si="1"/>
        <v>0</v>
      </c>
      <c r="L19" s="66">
        <f t="shared" si="2"/>
        <v>0</v>
      </c>
      <c r="M19" s="66" t="str">
        <f t="shared" si="3"/>
        <v>UNPAID</v>
      </c>
    </row>
    <row r="20" spans="1:13" x14ac:dyDescent="0.3">
      <c r="A20" s="66">
        <f>'STUDENT DETAILS'!A17</f>
        <v>0</v>
      </c>
      <c r="B20" s="66">
        <f>'STUDENT DETAILS'!B17</f>
        <v>0</v>
      </c>
      <c r="C20" s="66">
        <f>'STUDENT DETAILS'!C17</f>
        <v>0</v>
      </c>
      <c r="D20" s="66">
        <f>'STUDENT DETAILS'!D17</f>
        <v>0</v>
      </c>
      <c r="E20" s="94">
        <f>'STUDENT DETAILS'!E17</f>
        <v>0</v>
      </c>
      <c r="F20" s="66" t="b">
        <f t="shared" si="0"/>
        <v>0</v>
      </c>
      <c r="G20" s="66"/>
      <c r="H20" s="66"/>
      <c r="I20" s="66"/>
      <c r="J20" s="66"/>
      <c r="K20" s="66">
        <f t="shared" si="1"/>
        <v>0</v>
      </c>
      <c r="L20" s="66">
        <f t="shared" si="2"/>
        <v>0</v>
      </c>
      <c r="M20" s="66" t="str">
        <f t="shared" si="3"/>
        <v>UNPAID</v>
      </c>
    </row>
    <row r="21" spans="1:13" x14ac:dyDescent="0.3">
      <c r="A21" s="66">
        <f>'STUDENT DETAILS'!A18</f>
        <v>0</v>
      </c>
      <c r="B21" s="66">
        <f>'STUDENT DETAILS'!B18</f>
        <v>0</v>
      </c>
      <c r="C21" s="66">
        <f>'STUDENT DETAILS'!C18</f>
        <v>0</v>
      </c>
      <c r="D21" s="66">
        <f>'STUDENT DETAILS'!D18</f>
        <v>0</v>
      </c>
      <c r="E21" s="94">
        <f>'STUDENT DETAILS'!E18</f>
        <v>0</v>
      </c>
      <c r="F21" s="66" t="b">
        <f t="shared" si="0"/>
        <v>0</v>
      </c>
      <c r="G21" s="66"/>
      <c r="H21" s="66"/>
      <c r="I21" s="66"/>
      <c r="J21" s="66"/>
      <c r="K21" s="66">
        <f t="shared" si="1"/>
        <v>0</v>
      </c>
      <c r="L21" s="66">
        <f t="shared" si="2"/>
        <v>0</v>
      </c>
      <c r="M21" s="66" t="str">
        <f t="shared" si="3"/>
        <v>UNPAID</v>
      </c>
    </row>
    <row r="22" spans="1:13" x14ac:dyDescent="0.3">
      <c r="A22" s="66">
        <f>'STUDENT DETAILS'!A19</f>
        <v>0</v>
      </c>
      <c r="B22" s="66">
        <f>'STUDENT DETAILS'!B19</f>
        <v>0</v>
      </c>
      <c r="C22" s="66">
        <f>'STUDENT DETAILS'!C19</f>
        <v>0</v>
      </c>
      <c r="D22" s="66">
        <f>'STUDENT DETAILS'!D19</f>
        <v>0</v>
      </c>
      <c r="E22" s="94">
        <f>'STUDENT DETAILS'!E19</f>
        <v>0</v>
      </c>
      <c r="F22" s="66" t="b">
        <f t="shared" si="0"/>
        <v>0</v>
      </c>
      <c r="G22" s="66"/>
      <c r="H22" s="66"/>
      <c r="I22" s="66"/>
      <c r="J22" s="66"/>
      <c r="K22" s="66">
        <f t="shared" si="1"/>
        <v>0</v>
      </c>
      <c r="L22" s="66">
        <f t="shared" si="2"/>
        <v>0</v>
      </c>
      <c r="M22" s="66" t="str">
        <f t="shared" si="3"/>
        <v>UNPAID</v>
      </c>
    </row>
    <row r="23" spans="1:13" x14ac:dyDescent="0.3">
      <c r="A23" s="66">
        <f>'STUDENT DETAILS'!A20</f>
        <v>0</v>
      </c>
      <c r="B23" s="66">
        <f>'STUDENT DETAILS'!B20</f>
        <v>0</v>
      </c>
      <c r="C23" s="66">
        <f>'STUDENT DETAILS'!C20</f>
        <v>0</v>
      </c>
      <c r="D23" s="66">
        <f>'STUDENT DETAILS'!D20</f>
        <v>0</v>
      </c>
      <c r="E23" s="94">
        <f>'STUDENT DETAILS'!E20</f>
        <v>0</v>
      </c>
      <c r="F23" s="66" t="b">
        <f t="shared" si="0"/>
        <v>0</v>
      </c>
      <c r="G23" s="66"/>
      <c r="H23" s="66"/>
      <c r="I23" s="66"/>
      <c r="J23" s="66"/>
      <c r="K23" s="66">
        <f t="shared" si="1"/>
        <v>0</v>
      </c>
      <c r="L23" s="66">
        <f t="shared" si="2"/>
        <v>0</v>
      </c>
      <c r="M23" s="66" t="str">
        <f t="shared" si="3"/>
        <v>UNPAID</v>
      </c>
    </row>
    <row r="24" spans="1:13" x14ac:dyDescent="0.3">
      <c r="A24" s="66">
        <f>'STUDENT DETAILS'!A21</f>
        <v>0</v>
      </c>
      <c r="B24" s="66">
        <f>'STUDENT DETAILS'!B21</f>
        <v>0</v>
      </c>
      <c r="C24" s="66">
        <f>'STUDENT DETAILS'!C21</f>
        <v>0</v>
      </c>
      <c r="D24" s="66">
        <f>'STUDENT DETAILS'!D21</f>
        <v>0</v>
      </c>
      <c r="E24" s="94">
        <f>'STUDENT DETAILS'!E21</f>
        <v>0</v>
      </c>
      <c r="F24" s="66" t="b">
        <f t="shared" si="0"/>
        <v>0</v>
      </c>
      <c r="G24" s="66"/>
      <c r="H24" s="66"/>
      <c r="I24" s="66"/>
      <c r="J24" s="66"/>
      <c r="K24" s="66">
        <f t="shared" si="1"/>
        <v>0</v>
      </c>
      <c r="L24" s="66">
        <f t="shared" si="2"/>
        <v>0</v>
      </c>
      <c r="M24" s="66" t="str">
        <f t="shared" si="3"/>
        <v>UNPAID</v>
      </c>
    </row>
    <row r="25" spans="1:13" x14ac:dyDescent="0.3">
      <c r="A25" s="66">
        <f>'STUDENT DETAILS'!A22</f>
        <v>0</v>
      </c>
      <c r="B25" s="66">
        <f>'STUDENT DETAILS'!B22</f>
        <v>0</v>
      </c>
      <c r="C25" s="66">
        <f>'STUDENT DETAILS'!C22</f>
        <v>0</v>
      </c>
      <c r="D25" s="66">
        <f>'STUDENT DETAILS'!D22</f>
        <v>0</v>
      </c>
      <c r="E25" s="94">
        <f>'STUDENT DETAILS'!E22</f>
        <v>0</v>
      </c>
      <c r="F25" s="66" t="b">
        <f t="shared" si="0"/>
        <v>0</v>
      </c>
      <c r="G25" s="66"/>
      <c r="H25" s="66"/>
      <c r="I25" s="66"/>
      <c r="J25" s="66"/>
      <c r="K25" s="66">
        <f t="shared" si="1"/>
        <v>0</v>
      </c>
      <c r="L25" s="66">
        <f t="shared" si="2"/>
        <v>0</v>
      </c>
      <c r="M25" s="66" t="str">
        <f t="shared" si="3"/>
        <v>UNPAID</v>
      </c>
    </row>
    <row r="26" spans="1:13" x14ac:dyDescent="0.3">
      <c r="A26" s="66">
        <f>'STUDENT DETAILS'!A23</f>
        <v>0</v>
      </c>
      <c r="B26" s="66">
        <f>'STUDENT DETAILS'!B23</f>
        <v>0</v>
      </c>
      <c r="C26" s="66">
        <f>'STUDENT DETAILS'!C23</f>
        <v>0</v>
      </c>
      <c r="D26" s="66">
        <f>'STUDENT DETAILS'!D23</f>
        <v>0</v>
      </c>
      <c r="E26" s="94">
        <f>'STUDENT DETAILS'!E23</f>
        <v>0</v>
      </c>
      <c r="F26" s="66" t="b">
        <f t="shared" si="0"/>
        <v>0</v>
      </c>
      <c r="G26" s="66"/>
      <c r="H26" s="66"/>
      <c r="I26" s="66"/>
      <c r="J26" s="66"/>
      <c r="K26" s="66">
        <f t="shared" si="1"/>
        <v>0</v>
      </c>
      <c r="L26" s="66">
        <f t="shared" si="2"/>
        <v>0</v>
      </c>
      <c r="M26" s="66" t="str">
        <f t="shared" si="3"/>
        <v>UNPAID</v>
      </c>
    </row>
    <row r="27" spans="1:13" x14ac:dyDescent="0.3">
      <c r="A27" s="66">
        <f>'STUDENT DETAILS'!A24</f>
        <v>0</v>
      </c>
      <c r="B27" s="66">
        <f>'STUDENT DETAILS'!B24</f>
        <v>0</v>
      </c>
      <c r="C27" s="66">
        <f>'STUDENT DETAILS'!C24</f>
        <v>0</v>
      </c>
      <c r="D27" s="66">
        <f>'STUDENT DETAILS'!D24</f>
        <v>0</v>
      </c>
      <c r="E27" s="94">
        <f>'STUDENT DETAILS'!E24</f>
        <v>0</v>
      </c>
      <c r="F27" s="66" t="b">
        <f t="shared" si="0"/>
        <v>0</v>
      </c>
      <c r="G27" s="66"/>
      <c r="H27" s="66"/>
      <c r="I27" s="66"/>
      <c r="J27" s="66"/>
      <c r="K27" s="66">
        <f t="shared" si="1"/>
        <v>0</v>
      </c>
      <c r="L27" s="66">
        <f t="shared" si="2"/>
        <v>0</v>
      </c>
      <c r="M27" s="66" t="str">
        <f t="shared" si="3"/>
        <v>UNPAID</v>
      </c>
    </row>
    <row r="28" spans="1:13" x14ac:dyDescent="0.3">
      <c r="A28" s="66">
        <f>'STUDENT DETAILS'!A25</f>
        <v>0</v>
      </c>
      <c r="B28" s="66">
        <f>'STUDENT DETAILS'!B25</f>
        <v>0</v>
      </c>
      <c r="C28" s="66">
        <f>'STUDENT DETAILS'!C25</f>
        <v>0</v>
      </c>
      <c r="D28" s="66">
        <f>'STUDENT DETAILS'!D25</f>
        <v>0</v>
      </c>
      <c r="E28" s="94">
        <f>'STUDENT DETAILS'!E25</f>
        <v>0</v>
      </c>
      <c r="F28" s="66" t="b">
        <f t="shared" si="0"/>
        <v>0</v>
      </c>
      <c r="G28" s="66"/>
      <c r="H28" s="66"/>
      <c r="I28" s="66"/>
      <c r="J28" s="66"/>
      <c r="K28" s="66">
        <f t="shared" si="1"/>
        <v>0</v>
      </c>
      <c r="L28" s="66">
        <f t="shared" si="2"/>
        <v>0</v>
      </c>
      <c r="M28" s="66" t="str">
        <f t="shared" si="3"/>
        <v>UNPAID</v>
      </c>
    </row>
    <row r="29" spans="1:13" x14ac:dyDescent="0.3">
      <c r="A29" s="66">
        <f>'STUDENT DETAILS'!A26</f>
        <v>0</v>
      </c>
      <c r="B29" s="66">
        <f>'STUDENT DETAILS'!B26</f>
        <v>0</v>
      </c>
      <c r="C29" s="66">
        <f>'STUDENT DETAILS'!C26</f>
        <v>0</v>
      </c>
      <c r="D29" s="66">
        <f>'STUDENT DETAILS'!D26</f>
        <v>0</v>
      </c>
      <c r="E29" s="94">
        <f>'STUDENT DETAILS'!E26</f>
        <v>0</v>
      </c>
      <c r="F29" s="66" t="b">
        <f t="shared" si="0"/>
        <v>0</v>
      </c>
      <c r="G29" s="66"/>
      <c r="H29" s="66"/>
      <c r="I29" s="66"/>
      <c r="J29" s="66"/>
      <c r="K29" s="66">
        <f t="shared" si="1"/>
        <v>0</v>
      </c>
      <c r="L29" s="66">
        <f t="shared" si="2"/>
        <v>0</v>
      </c>
      <c r="M29" s="66" t="str">
        <f t="shared" si="3"/>
        <v>UNPAID</v>
      </c>
    </row>
    <row r="30" spans="1:13" x14ac:dyDescent="0.3">
      <c r="A30" s="66">
        <f>'STUDENT DETAILS'!A27</f>
        <v>0</v>
      </c>
      <c r="B30" s="66">
        <f>'STUDENT DETAILS'!B27</f>
        <v>0</v>
      </c>
      <c r="C30" s="66">
        <f>'STUDENT DETAILS'!C27</f>
        <v>0</v>
      </c>
      <c r="D30" s="66">
        <f>'STUDENT DETAILS'!D27</f>
        <v>0</v>
      </c>
      <c r="E30" s="94">
        <f>'STUDENT DETAILS'!E27</f>
        <v>0</v>
      </c>
      <c r="F30" s="66" t="b">
        <f t="shared" si="0"/>
        <v>0</v>
      </c>
      <c r="G30" s="66"/>
      <c r="H30" s="66"/>
      <c r="I30" s="66"/>
      <c r="J30" s="66"/>
      <c r="K30" s="66">
        <f t="shared" si="1"/>
        <v>0</v>
      </c>
      <c r="L30" s="66">
        <f t="shared" si="2"/>
        <v>0</v>
      </c>
      <c r="M30" s="66" t="str">
        <f t="shared" si="3"/>
        <v>UNPAID</v>
      </c>
    </row>
    <row r="31" spans="1:13" x14ac:dyDescent="0.3">
      <c r="A31" s="66">
        <f>'STUDENT DETAILS'!A28</f>
        <v>0</v>
      </c>
      <c r="B31" s="66">
        <f>'STUDENT DETAILS'!B28</f>
        <v>0</v>
      </c>
      <c r="C31" s="66">
        <f>'STUDENT DETAILS'!C28</f>
        <v>0</v>
      </c>
      <c r="D31" s="66">
        <f>'STUDENT DETAILS'!D28</f>
        <v>0</v>
      </c>
      <c r="E31" s="94">
        <f>'STUDENT DETAILS'!E28</f>
        <v>0</v>
      </c>
      <c r="F31" s="66" t="b">
        <f t="shared" si="0"/>
        <v>0</v>
      </c>
      <c r="G31" s="66"/>
      <c r="H31" s="66"/>
      <c r="I31" s="66"/>
      <c r="J31" s="66"/>
      <c r="K31" s="66">
        <f t="shared" si="1"/>
        <v>0</v>
      </c>
      <c r="L31" s="66">
        <f t="shared" si="2"/>
        <v>0</v>
      </c>
      <c r="M31" s="66" t="str">
        <f t="shared" si="3"/>
        <v>UNPAID</v>
      </c>
    </row>
    <row r="32" spans="1:13" x14ac:dyDescent="0.3">
      <c r="A32" s="66">
        <f>'STUDENT DETAILS'!A29</f>
        <v>0</v>
      </c>
      <c r="B32" s="66">
        <f>'STUDENT DETAILS'!B29</f>
        <v>0</v>
      </c>
      <c r="C32" s="66">
        <f>'STUDENT DETAILS'!C29</f>
        <v>0</v>
      </c>
      <c r="D32" s="66">
        <f>'STUDENT DETAILS'!D29</f>
        <v>0</v>
      </c>
      <c r="E32" s="94">
        <f>'STUDENT DETAILS'!E29</f>
        <v>0</v>
      </c>
      <c r="F32" s="66" t="b">
        <f t="shared" si="0"/>
        <v>0</v>
      </c>
      <c r="G32" s="66"/>
      <c r="H32" s="66"/>
      <c r="I32" s="66"/>
      <c r="J32" s="66"/>
      <c r="K32" s="66">
        <f t="shared" si="1"/>
        <v>0</v>
      </c>
      <c r="L32" s="66">
        <f t="shared" si="2"/>
        <v>0</v>
      </c>
      <c r="M32" s="66" t="str">
        <f t="shared" si="3"/>
        <v>UNPAID</v>
      </c>
    </row>
    <row r="33" spans="1:13" x14ac:dyDescent="0.3">
      <c r="A33" s="66">
        <f>'STUDENT DETAILS'!A30</f>
        <v>0</v>
      </c>
      <c r="B33" s="66">
        <f>'STUDENT DETAILS'!B30</f>
        <v>0</v>
      </c>
      <c r="C33" s="66">
        <f>'STUDENT DETAILS'!C30</f>
        <v>0</v>
      </c>
      <c r="D33" s="66">
        <f>'STUDENT DETAILS'!D30</f>
        <v>0</v>
      </c>
      <c r="E33" s="94">
        <f>'STUDENT DETAILS'!E30</f>
        <v>0</v>
      </c>
      <c r="F33" s="66" t="b">
        <f t="shared" si="0"/>
        <v>0</v>
      </c>
      <c r="G33" s="66"/>
      <c r="H33" s="66"/>
      <c r="I33" s="66"/>
      <c r="J33" s="66"/>
      <c r="K33" s="66">
        <f t="shared" si="1"/>
        <v>0</v>
      </c>
      <c r="L33" s="66">
        <f t="shared" si="2"/>
        <v>0</v>
      </c>
      <c r="M33" s="66" t="str">
        <f t="shared" si="3"/>
        <v>UNPAID</v>
      </c>
    </row>
    <row r="34" spans="1:13" x14ac:dyDescent="0.3">
      <c r="A34" s="66">
        <f>'STUDENT DETAILS'!A31</f>
        <v>0</v>
      </c>
      <c r="B34" s="66">
        <f>'STUDENT DETAILS'!B31</f>
        <v>0</v>
      </c>
      <c r="C34" s="66">
        <f>'STUDENT DETAILS'!C31</f>
        <v>0</v>
      </c>
      <c r="D34" s="66">
        <f>'STUDENT DETAILS'!D31</f>
        <v>0</v>
      </c>
      <c r="E34" s="94">
        <f>'STUDENT DETAILS'!E31</f>
        <v>0</v>
      </c>
      <c r="F34" s="66" t="b">
        <f t="shared" si="0"/>
        <v>0</v>
      </c>
      <c r="G34" s="66"/>
      <c r="H34" s="66"/>
      <c r="I34" s="66"/>
      <c r="J34" s="66"/>
      <c r="K34" s="66">
        <f t="shared" si="1"/>
        <v>0</v>
      </c>
      <c r="L34" s="66">
        <f t="shared" si="2"/>
        <v>0</v>
      </c>
      <c r="M34" s="66" t="str">
        <f t="shared" si="3"/>
        <v>UNPAID</v>
      </c>
    </row>
    <row r="35" spans="1:13" x14ac:dyDescent="0.3">
      <c r="A35" s="66">
        <f>'STUDENT DETAILS'!A32</f>
        <v>0</v>
      </c>
      <c r="B35" s="66">
        <f>'STUDENT DETAILS'!B32</f>
        <v>0</v>
      </c>
      <c r="C35" s="66">
        <f>'STUDENT DETAILS'!C32</f>
        <v>0</v>
      </c>
      <c r="D35" s="66">
        <f>'STUDENT DETAILS'!D32</f>
        <v>0</v>
      </c>
      <c r="E35" s="94">
        <f>'STUDENT DETAILS'!E32</f>
        <v>0</v>
      </c>
      <c r="F35" s="66" t="b">
        <f t="shared" si="0"/>
        <v>0</v>
      </c>
      <c r="G35" s="66"/>
      <c r="H35" s="66"/>
      <c r="I35" s="66"/>
      <c r="J35" s="66"/>
      <c r="K35" s="66">
        <f t="shared" si="1"/>
        <v>0</v>
      </c>
      <c r="L35" s="66">
        <f t="shared" si="2"/>
        <v>0</v>
      </c>
      <c r="M35" s="66" t="str">
        <f t="shared" si="3"/>
        <v>UNPAID</v>
      </c>
    </row>
    <row r="36" spans="1:13" x14ac:dyDescent="0.3">
      <c r="A36" s="66">
        <f>'STUDENT DETAILS'!A33</f>
        <v>0</v>
      </c>
      <c r="B36" s="66">
        <f>'STUDENT DETAILS'!B33</f>
        <v>0</v>
      </c>
      <c r="C36" s="66">
        <f>'STUDENT DETAILS'!C33</f>
        <v>0</v>
      </c>
      <c r="D36" s="66">
        <f>'STUDENT DETAILS'!D33</f>
        <v>0</v>
      </c>
      <c r="E36" s="94">
        <f>'STUDENT DETAILS'!E33</f>
        <v>0</v>
      </c>
      <c r="F36" s="66" t="b">
        <f t="shared" si="0"/>
        <v>0</v>
      </c>
      <c r="G36" s="66"/>
      <c r="H36" s="66"/>
      <c r="I36" s="66"/>
      <c r="J36" s="66"/>
      <c r="K36" s="66">
        <f t="shared" si="1"/>
        <v>0</v>
      </c>
      <c r="L36" s="66">
        <f t="shared" si="2"/>
        <v>0</v>
      </c>
      <c r="M36" s="66" t="str">
        <f t="shared" si="3"/>
        <v>UNPAID</v>
      </c>
    </row>
    <row r="37" spans="1:13" x14ac:dyDescent="0.3">
      <c r="A37" s="66">
        <f>'STUDENT DETAILS'!A34</f>
        <v>0</v>
      </c>
      <c r="B37" s="66">
        <f>'STUDENT DETAILS'!B34</f>
        <v>0</v>
      </c>
      <c r="C37" s="66">
        <f>'STUDENT DETAILS'!C34</f>
        <v>0</v>
      </c>
      <c r="D37" s="66">
        <f>'STUDENT DETAILS'!D34</f>
        <v>0</v>
      </c>
      <c r="E37" s="94">
        <f>'STUDENT DETAILS'!E34</f>
        <v>0</v>
      </c>
      <c r="F37" s="66" t="b">
        <f t="shared" si="0"/>
        <v>0</v>
      </c>
      <c r="G37" s="66"/>
      <c r="H37" s="66"/>
      <c r="I37" s="66"/>
      <c r="J37" s="66"/>
      <c r="K37" s="66">
        <f t="shared" si="1"/>
        <v>0</v>
      </c>
      <c r="L37" s="66">
        <f t="shared" si="2"/>
        <v>0</v>
      </c>
      <c r="M37" s="66" t="str">
        <f t="shared" si="3"/>
        <v>UNPAID</v>
      </c>
    </row>
    <row r="38" spans="1:13" x14ac:dyDescent="0.3">
      <c r="A38" s="66">
        <f>'STUDENT DETAILS'!A35</f>
        <v>0</v>
      </c>
      <c r="B38" s="66">
        <f>'STUDENT DETAILS'!B35</f>
        <v>0</v>
      </c>
      <c r="C38" s="66">
        <f>'STUDENT DETAILS'!C35</f>
        <v>0</v>
      </c>
      <c r="D38" s="66">
        <f>'STUDENT DETAILS'!D35</f>
        <v>0</v>
      </c>
      <c r="E38" s="94">
        <f>'STUDENT DETAILS'!E35</f>
        <v>0</v>
      </c>
      <c r="F38" s="66" t="b">
        <f t="shared" si="0"/>
        <v>0</v>
      </c>
      <c r="G38" s="66"/>
      <c r="H38" s="66"/>
      <c r="I38" s="66"/>
      <c r="J38" s="66"/>
      <c r="K38" s="66">
        <f t="shared" si="1"/>
        <v>0</v>
      </c>
      <c r="L38" s="66">
        <f t="shared" si="2"/>
        <v>0</v>
      </c>
      <c r="M38" s="66" t="str">
        <f t="shared" si="3"/>
        <v>UNPAID</v>
      </c>
    </row>
    <row r="39" spans="1:13" x14ac:dyDescent="0.3">
      <c r="A39" s="66">
        <f>'STUDENT DETAILS'!A36</f>
        <v>0</v>
      </c>
      <c r="B39" s="66">
        <f>'STUDENT DETAILS'!B36</f>
        <v>0</v>
      </c>
      <c r="C39" s="66">
        <f>'STUDENT DETAILS'!C36</f>
        <v>0</v>
      </c>
      <c r="D39" s="66">
        <f>'STUDENT DETAILS'!D36</f>
        <v>0</v>
      </c>
      <c r="E39" s="94">
        <f>'STUDENT DETAILS'!E36</f>
        <v>0</v>
      </c>
      <c r="F39" s="66" t="b">
        <f t="shared" si="0"/>
        <v>0</v>
      </c>
      <c r="G39" s="66"/>
      <c r="H39" s="66"/>
      <c r="I39" s="66"/>
      <c r="J39" s="66"/>
      <c r="K39" s="66">
        <f t="shared" si="1"/>
        <v>0</v>
      </c>
      <c r="L39" s="66">
        <f t="shared" si="2"/>
        <v>0</v>
      </c>
      <c r="M39" s="66" t="str">
        <f t="shared" si="3"/>
        <v>UNPAID</v>
      </c>
    </row>
    <row r="40" spans="1:13" x14ac:dyDescent="0.3">
      <c r="A40" s="66">
        <f>'STUDENT DETAILS'!A37</f>
        <v>0</v>
      </c>
      <c r="B40" s="66">
        <f>'STUDENT DETAILS'!B37</f>
        <v>0</v>
      </c>
      <c r="C40" s="66">
        <f>'STUDENT DETAILS'!C37</f>
        <v>0</v>
      </c>
      <c r="D40" s="66">
        <f>'STUDENT DETAILS'!D37</f>
        <v>0</v>
      </c>
      <c r="E40" s="94">
        <f>'STUDENT DETAILS'!E37</f>
        <v>0</v>
      </c>
      <c r="F40" s="66" t="b">
        <f t="shared" si="0"/>
        <v>0</v>
      </c>
      <c r="G40" s="66"/>
      <c r="H40" s="66"/>
      <c r="I40" s="66"/>
      <c r="J40" s="66"/>
      <c r="K40" s="66">
        <f t="shared" si="1"/>
        <v>0</v>
      </c>
      <c r="L40" s="66">
        <f t="shared" si="2"/>
        <v>0</v>
      </c>
      <c r="M40" s="66" t="str">
        <f t="shared" si="3"/>
        <v>UNPAID</v>
      </c>
    </row>
    <row r="41" spans="1:13" x14ac:dyDescent="0.3">
      <c r="A41" s="66">
        <f>'STUDENT DETAILS'!A38</f>
        <v>0</v>
      </c>
      <c r="B41" s="66">
        <f>'STUDENT DETAILS'!B38</f>
        <v>0</v>
      </c>
      <c r="C41" s="66">
        <f>'STUDENT DETAILS'!C38</f>
        <v>0</v>
      </c>
      <c r="D41" s="66">
        <f>'STUDENT DETAILS'!D38</f>
        <v>0</v>
      </c>
      <c r="E41" s="94">
        <f>'STUDENT DETAILS'!E38</f>
        <v>0</v>
      </c>
      <c r="F41" s="66" t="b">
        <f t="shared" si="0"/>
        <v>0</v>
      </c>
      <c r="G41" s="66"/>
      <c r="H41" s="66"/>
      <c r="I41" s="66"/>
      <c r="J41" s="66"/>
      <c r="K41" s="66">
        <f t="shared" si="1"/>
        <v>0</v>
      </c>
      <c r="L41" s="66">
        <f t="shared" si="2"/>
        <v>0</v>
      </c>
      <c r="M41" s="66" t="str">
        <f t="shared" si="3"/>
        <v>UNPAID</v>
      </c>
    </row>
    <row r="42" spans="1:13" x14ac:dyDescent="0.3">
      <c r="A42" s="66">
        <f>'STUDENT DETAILS'!A39</f>
        <v>0</v>
      </c>
      <c r="B42" s="66">
        <f>'STUDENT DETAILS'!B39</f>
        <v>0</v>
      </c>
      <c r="C42" s="66">
        <f>'STUDENT DETAILS'!C39</f>
        <v>0</v>
      </c>
      <c r="D42" s="66">
        <f>'STUDENT DETAILS'!D39</f>
        <v>0</v>
      </c>
      <c r="E42" s="94">
        <f>'STUDENT DETAILS'!E39</f>
        <v>0</v>
      </c>
      <c r="F42" s="66" t="b">
        <f t="shared" si="0"/>
        <v>0</v>
      </c>
      <c r="G42" s="66"/>
      <c r="H42" s="66"/>
      <c r="I42" s="66"/>
      <c r="J42" s="66"/>
      <c r="K42" s="66">
        <f t="shared" si="1"/>
        <v>0</v>
      </c>
      <c r="L42" s="66">
        <f t="shared" si="2"/>
        <v>0</v>
      </c>
      <c r="M42" s="66" t="str">
        <f t="shared" si="3"/>
        <v>UNPAID</v>
      </c>
    </row>
    <row r="43" spans="1:13" x14ac:dyDescent="0.3">
      <c r="A43" s="66">
        <f>'STUDENT DETAILS'!A40</f>
        <v>0</v>
      </c>
      <c r="B43" s="66">
        <f>'STUDENT DETAILS'!B40</f>
        <v>0</v>
      </c>
      <c r="C43" s="66">
        <f>'STUDENT DETAILS'!C40</f>
        <v>0</v>
      </c>
      <c r="D43" s="66">
        <f>'STUDENT DETAILS'!D40</f>
        <v>0</v>
      </c>
      <c r="E43" s="94">
        <f>'STUDENT DETAILS'!E40</f>
        <v>0</v>
      </c>
      <c r="F43" s="66" t="b">
        <f t="shared" si="0"/>
        <v>0</v>
      </c>
      <c r="G43" s="66"/>
      <c r="H43" s="66"/>
      <c r="I43" s="66"/>
      <c r="J43" s="66"/>
      <c r="K43" s="66">
        <f t="shared" si="1"/>
        <v>0</v>
      </c>
      <c r="L43" s="66">
        <f t="shared" si="2"/>
        <v>0</v>
      </c>
      <c r="M43" s="66" t="str">
        <f t="shared" si="3"/>
        <v>UNPAID</v>
      </c>
    </row>
    <row r="44" spans="1:13" x14ac:dyDescent="0.3">
      <c r="A44" s="66">
        <f>'STUDENT DETAILS'!A41</f>
        <v>0</v>
      </c>
      <c r="B44" s="66">
        <f>'STUDENT DETAILS'!B41</f>
        <v>0</v>
      </c>
      <c r="C44" s="66">
        <f>'STUDENT DETAILS'!C41</f>
        <v>0</v>
      </c>
      <c r="D44" s="66">
        <f>'STUDENT DETAILS'!D41</f>
        <v>0</v>
      </c>
      <c r="E44" s="94">
        <f>'STUDENT DETAILS'!E41</f>
        <v>0</v>
      </c>
      <c r="F44" s="66" t="b">
        <f t="shared" si="0"/>
        <v>0</v>
      </c>
      <c r="G44" s="66"/>
      <c r="H44" s="66"/>
      <c r="I44" s="66"/>
      <c r="J44" s="66"/>
      <c r="K44" s="66">
        <f t="shared" si="1"/>
        <v>0</v>
      </c>
      <c r="L44" s="66">
        <f t="shared" si="2"/>
        <v>0</v>
      </c>
      <c r="M44" s="66" t="str">
        <f t="shared" si="3"/>
        <v>UNPAID</v>
      </c>
    </row>
    <row r="45" spans="1:13" x14ac:dyDescent="0.3">
      <c r="A45" s="66">
        <f>'STUDENT DETAILS'!A42</f>
        <v>0</v>
      </c>
      <c r="B45" s="66">
        <f>'STUDENT DETAILS'!B42</f>
        <v>0</v>
      </c>
      <c r="C45" s="66">
        <f>'STUDENT DETAILS'!C42</f>
        <v>0</v>
      </c>
      <c r="D45" s="66">
        <f>'STUDENT DETAILS'!D42</f>
        <v>0</v>
      </c>
      <c r="E45" s="94">
        <f>'STUDENT DETAILS'!E42</f>
        <v>0</v>
      </c>
      <c r="F45" s="66" t="b">
        <f t="shared" si="0"/>
        <v>0</v>
      </c>
      <c r="G45" s="66"/>
      <c r="H45" s="66"/>
      <c r="I45" s="66"/>
      <c r="J45" s="66"/>
      <c r="K45" s="66">
        <f t="shared" si="1"/>
        <v>0</v>
      </c>
      <c r="L45" s="66">
        <f t="shared" si="2"/>
        <v>0</v>
      </c>
      <c r="M45" s="66" t="str">
        <f t="shared" si="3"/>
        <v>UNPAID</v>
      </c>
    </row>
    <row r="46" spans="1:13" x14ac:dyDescent="0.3">
      <c r="A46" s="66">
        <f>'STUDENT DETAILS'!A43</f>
        <v>0</v>
      </c>
      <c r="B46" s="66">
        <f>'STUDENT DETAILS'!B43</f>
        <v>0</v>
      </c>
      <c r="C46" s="66">
        <f>'STUDENT DETAILS'!C43</f>
        <v>0</v>
      </c>
      <c r="D46" s="66">
        <f>'STUDENT DETAILS'!D43</f>
        <v>0</v>
      </c>
      <c r="E46" s="94">
        <f>'STUDENT DETAILS'!E43</f>
        <v>0</v>
      </c>
      <c r="F46" s="66" t="b">
        <f t="shared" si="0"/>
        <v>0</v>
      </c>
      <c r="G46" s="66"/>
      <c r="H46" s="66"/>
      <c r="I46" s="66"/>
      <c r="J46" s="66"/>
      <c r="K46" s="66">
        <f t="shared" si="1"/>
        <v>0</v>
      </c>
      <c r="L46" s="66">
        <f t="shared" si="2"/>
        <v>0</v>
      </c>
      <c r="M46" s="66" t="str">
        <f t="shared" si="3"/>
        <v>UNPAID</v>
      </c>
    </row>
    <row r="47" spans="1:13" x14ac:dyDescent="0.3">
      <c r="A47" s="66">
        <f>'STUDENT DETAILS'!A44</f>
        <v>0</v>
      </c>
      <c r="B47" s="66">
        <f>'STUDENT DETAILS'!B44</f>
        <v>0</v>
      </c>
      <c r="C47" s="66">
        <f>'STUDENT DETAILS'!C44</f>
        <v>0</v>
      </c>
      <c r="D47" s="66">
        <f>'STUDENT DETAILS'!D44</f>
        <v>0</v>
      </c>
      <c r="E47" s="94">
        <f>'STUDENT DETAILS'!E44</f>
        <v>0</v>
      </c>
      <c r="F47" s="66" t="b">
        <f t="shared" si="0"/>
        <v>0</v>
      </c>
      <c r="G47" s="66"/>
      <c r="H47" s="66"/>
      <c r="I47" s="66"/>
      <c r="J47" s="66"/>
      <c r="K47" s="66">
        <f t="shared" si="1"/>
        <v>0</v>
      </c>
      <c r="L47" s="66">
        <f t="shared" si="2"/>
        <v>0</v>
      </c>
      <c r="M47" s="66" t="str">
        <f t="shared" si="3"/>
        <v>UNPAID</v>
      </c>
    </row>
    <row r="48" spans="1:13" x14ac:dyDescent="0.3">
      <c r="A48" s="66">
        <f>'STUDENT DETAILS'!A45</f>
        <v>0</v>
      </c>
      <c r="B48" s="66">
        <f>'STUDENT DETAILS'!B45</f>
        <v>0</v>
      </c>
      <c r="C48" s="66">
        <f>'STUDENT DETAILS'!C45</f>
        <v>0</v>
      </c>
      <c r="D48" s="66">
        <f>'STUDENT DETAILS'!D45</f>
        <v>0</v>
      </c>
      <c r="E48" s="94">
        <f>'STUDENT DETAILS'!E45</f>
        <v>0</v>
      </c>
      <c r="F48" s="66" t="b">
        <f t="shared" si="0"/>
        <v>0</v>
      </c>
      <c r="G48" s="66"/>
      <c r="H48" s="66"/>
      <c r="I48" s="66"/>
      <c r="J48" s="66"/>
      <c r="K48" s="66">
        <f t="shared" si="1"/>
        <v>0</v>
      </c>
      <c r="L48" s="66">
        <f t="shared" si="2"/>
        <v>0</v>
      </c>
      <c r="M48" s="66" t="str">
        <f t="shared" si="3"/>
        <v>UNPAID</v>
      </c>
    </row>
    <row r="49" spans="1:13" x14ac:dyDescent="0.3">
      <c r="A49" s="66">
        <f>'STUDENT DETAILS'!A46</f>
        <v>0</v>
      </c>
      <c r="B49" s="66">
        <f>'STUDENT DETAILS'!B46</f>
        <v>0</v>
      </c>
      <c r="C49" s="66">
        <f>'STUDENT DETAILS'!C46</f>
        <v>0</v>
      </c>
      <c r="D49" s="66">
        <f>'STUDENT DETAILS'!D46</f>
        <v>0</v>
      </c>
      <c r="E49" s="94">
        <f>'STUDENT DETAILS'!E46</f>
        <v>0</v>
      </c>
      <c r="F49" s="66" t="b">
        <f t="shared" si="0"/>
        <v>0</v>
      </c>
      <c r="G49" s="66"/>
      <c r="H49" s="66"/>
      <c r="I49" s="66"/>
      <c r="J49" s="66"/>
      <c r="K49" s="66">
        <f t="shared" si="1"/>
        <v>0</v>
      </c>
      <c r="L49" s="66">
        <f t="shared" si="2"/>
        <v>0</v>
      </c>
      <c r="M49" s="66" t="str">
        <f t="shared" si="3"/>
        <v>UNPAID</v>
      </c>
    </row>
    <row r="50" spans="1:13" x14ac:dyDescent="0.3">
      <c r="A50" s="66">
        <f>'STUDENT DETAILS'!A47</f>
        <v>0</v>
      </c>
      <c r="B50" s="66">
        <f>'STUDENT DETAILS'!B47</f>
        <v>0</v>
      </c>
      <c r="C50" s="66">
        <f>'STUDENT DETAILS'!C47</f>
        <v>0</v>
      </c>
      <c r="D50" s="66">
        <f>'STUDENT DETAILS'!D47</f>
        <v>0</v>
      </c>
      <c r="E50" s="94">
        <f>'STUDENT DETAILS'!E47</f>
        <v>0</v>
      </c>
      <c r="F50" s="66" t="b">
        <f t="shared" si="0"/>
        <v>0</v>
      </c>
      <c r="G50" s="66"/>
      <c r="H50" s="66"/>
      <c r="I50" s="66"/>
      <c r="J50" s="66"/>
      <c r="K50" s="66">
        <f t="shared" si="1"/>
        <v>0</v>
      </c>
      <c r="L50" s="66">
        <f t="shared" si="2"/>
        <v>0</v>
      </c>
      <c r="M50" s="66" t="str">
        <f t="shared" si="3"/>
        <v>UNPAID</v>
      </c>
    </row>
    <row r="51" spans="1:13" x14ac:dyDescent="0.3">
      <c r="A51" s="66">
        <f>'STUDENT DETAILS'!A48</f>
        <v>0</v>
      </c>
      <c r="B51" s="66">
        <f>'STUDENT DETAILS'!B48</f>
        <v>0</v>
      </c>
      <c r="C51" s="66">
        <f>'STUDENT DETAILS'!C48</f>
        <v>0</v>
      </c>
      <c r="D51" s="66">
        <f>'STUDENT DETAILS'!D48</f>
        <v>0</v>
      </c>
      <c r="E51" s="94">
        <f>'STUDENT DETAILS'!E48</f>
        <v>0</v>
      </c>
      <c r="F51" s="66" t="b">
        <f t="shared" si="0"/>
        <v>0</v>
      </c>
      <c r="G51" s="66"/>
      <c r="H51" s="66"/>
      <c r="I51" s="66"/>
      <c r="J51" s="66"/>
      <c r="K51" s="66">
        <f t="shared" si="1"/>
        <v>0</v>
      </c>
      <c r="L51" s="66">
        <f t="shared" si="2"/>
        <v>0</v>
      </c>
      <c r="M51" s="66" t="str">
        <f t="shared" si="3"/>
        <v>UNPAID</v>
      </c>
    </row>
    <row r="52" spans="1:13" x14ac:dyDescent="0.3">
      <c r="A52" s="66">
        <f>'STUDENT DETAILS'!A49</f>
        <v>0</v>
      </c>
      <c r="B52" s="66">
        <f>'STUDENT DETAILS'!B49</f>
        <v>0</v>
      </c>
      <c r="C52" s="66">
        <f>'STUDENT DETAILS'!C49</f>
        <v>0</v>
      </c>
      <c r="D52" s="66">
        <f>'STUDENT DETAILS'!D49</f>
        <v>0</v>
      </c>
      <c r="E52" s="94">
        <f>'STUDENT DETAILS'!E49</f>
        <v>0</v>
      </c>
      <c r="F52" s="66" t="b">
        <f t="shared" si="0"/>
        <v>0</v>
      </c>
      <c r="G52" s="66"/>
      <c r="H52" s="66"/>
      <c r="I52" s="66"/>
      <c r="J52" s="66"/>
      <c r="K52" s="66">
        <f t="shared" si="1"/>
        <v>0</v>
      </c>
      <c r="L52" s="66">
        <f t="shared" si="2"/>
        <v>0</v>
      </c>
      <c r="M52" s="66" t="str">
        <f t="shared" si="3"/>
        <v>UNPAID</v>
      </c>
    </row>
    <row r="53" spans="1:13" x14ac:dyDescent="0.3">
      <c r="A53" s="66">
        <f>'STUDENT DETAILS'!A50</f>
        <v>0</v>
      </c>
      <c r="B53" s="66">
        <f>'STUDENT DETAILS'!B50</f>
        <v>0</v>
      </c>
      <c r="C53" s="66">
        <f>'STUDENT DETAILS'!C50</f>
        <v>0</v>
      </c>
      <c r="D53" s="66">
        <f>'STUDENT DETAILS'!D50</f>
        <v>0</v>
      </c>
      <c r="E53" s="94">
        <f>'STUDENT DETAILS'!E50</f>
        <v>0</v>
      </c>
      <c r="F53" s="66" t="b">
        <f t="shared" si="0"/>
        <v>0</v>
      </c>
      <c r="G53" s="66"/>
      <c r="H53" s="66"/>
      <c r="I53" s="66"/>
      <c r="J53" s="66"/>
      <c r="K53" s="66">
        <f t="shared" si="1"/>
        <v>0</v>
      </c>
      <c r="L53" s="66">
        <f t="shared" si="2"/>
        <v>0</v>
      </c>
      <c r="M53" s="66" t="str">
        <f t="shared" si="3"/>
        <v>UNPAID</v>
      </c>
    </row>
    <row r="54" spans="1:13" x14ac:dyDescent="0.3">
      <c r="A54" s="66">
        <f>'STUDENT DETAILS'!A51</f>
        <v>0</v>
      </c>
      <c r="B54" s="66">
        <f>'STUDENT DETAILS'!B51</f>
        <v>0</v>
      </c>
      <c r="C54" s="66">
        <f>'STUDENT DETAILS'!C51</f>
        <v>0</v>
      </c>
      <c r="D54" s="66">
        <f>'STUDENT DETAILS'!D51</f>
        <v>0</v>
      </c>
      <c r="E54" s="94">
        <f>'STUDENT DETAILS'!E51</f>
        <v>0</v>
      </c>
      <c r="F54" s="66" t="b">
        <f t="shared" si="0"/>
        <v>0</v>
      </c>
      <c r="G54" s="66"/>
      <c r="H54" s="66"/>
      <c r="I54" s="66"/>
      <c r="J54" s="66"/>
      <c r="K54" s="66">
        <f t="shared" si="1"/>
        <v>0</v>
      </c>
      <c r="L54" s="66">
        <f t="shared" si="2"/>
        <v>0</v>
      </c>
      <c r="M54" s="66" t="str">
        <f t="shared" si="3"/>
        <v>UNPAID</v>
      </c>
    </row>
    <row r="55" spans="1:13" x14ac:dyDescent="0.3">
      <c r="A55" s="66">
        <f>'STUDENT DETAILS'!A52</f>
        <v>0</v>
      </c>
      <c r="B55" s="66">
        <f>'STUDENT DETAILS'!B52</f>
        <v>0</v>
      </c>
      <c r="C55" s="66">
        <f>'STUDENT DETAILS'!C52</f>
        <v>0</v>
      </c>
      <c r="D55" s="66">
        <f>'STUDENT DETAILS'!D52</f>
        <v>0</v>
      </c>
      <c r="E55" s="94">
        <f>'STUDENT DETAILS'!E52</f>
        <v>0</v>
      </c>
      <c r="F55" s="66" t="b">
        <f t="shared" si="0"/>
        <v>0</v>
      </c>
      <c r="G55" s="66"/>
      <c r="H55" s="66"/>
      <c r="I55" s="66"/>
      <c r="J55" s="66"/>
      <c r="K55" s="66">
        <f t="shared" si="1"/>
        <v>0</v>
      </c>
      <c r="L55" s="66">
        <f t="shared" si="2"/>
        <v>0</v>
      </c>
      <c r="M55" s="66" t="str">
        <f t="shared" si="3"/>
        <v>UNPAID</v>
      </c>
    </row>
    <row r="56" spans="1:13" x14ac:dyDescent="0.3">
      <c r="A56" s="66">
        <f>'STUDENT DETAILS'!A53</f>
        <v>0</v>
      </c>
      <c r="B56" s="66">
        <f>'STUDENT DETAILS'!B53</f>
        <v>0</v>
      </c>
      <c r="C56" s="66">
        <f>'STUDENT DETAILS'!C53</f>
        <v>0</v>
      </c>
      <c r="D56" s="66">
        <f>'STUDENT DETAILS'!D53</f>
        <v>0</v>
      </c>
      <c r="E56" s="94">
        <f>'STUDENT DETAILS'!E53</f>
        <v>0</v>
      </c>
      <c r="F56" s="66" t="b">
        <f t="shared" si="0"/>
        <v>0</v>
      </c>
      <c r="G56" s="66"/>
      <c r="H56" s="66"/>
      <c r="I56" s="66"/>
      <c r="J56" s="66"/>
      <c r="K56" s="66">
        <f t="shared" si="1"/>
        <v>0</v>
      </c>
      <c r="L56" s="66">
        <f t="shared" si="2"/>
        <v>0</v>
      </c>
      <c r="M56" s="66" t="str">
        <f t="shared" si="3"/>
        <v>UNPAID</v>
      </c>
    </row>
    <row r="57" spans="1:13" x14ac:dyDescent="0.3">
      <c r="A57" s="66">
        <f>'STUDENT DETAILS'!A54</f>
        <v>0</v>
      </c>
      <c r="B57" s="66">
        <f>'STUDENT DETAILS'!B54</f>
        <v>0</v>
      </c>
      <c r="C57" s="66">
        <f>'STUDENT DETAILS'!C54</f>
        <v>0</v>
      </c>
      <c r="D57" s="66">
        <f>'STUDENT DETAILS'!D54</f>
        <v>0</v>
      </c>
      <c r="E57" s="94">
        <f>'STUDENT DETAILS'!E54</f>
        <v>0</v>
      </c>
      <c r="F57" s="66" t="b">
        <f t="shared" si="0"/>
        <v>0</v>
      </c>
      <c r="G57" s="66"/>
      <c r="H57" s="66"/>
      <c r="I57" s="66"/>
      <c r="J57" s="66"/>
      <c r="K57" s="66">
        <f t="shared" si="1"/>
        <v>0</v>
      </c>
      <c r="L57" s="66">
        <f t="shared" si="2"/>
        <v>0</v>
      </c>
      <c r="M57" s="66" t="str">
        <f t="shared" si="3"/>
        <v>UNPAID</v>
      </c>
    </row>
    <row r="58" spans="1:13" x14ac:dyDescent="0.3">
      <c r="A58" s="66">
        <f>'STUDENT DETAILS'!A55</f>
        <v>0</v>
      </c>
      <c r="B58" s="66">
        <f>'STUDENT DETAILS'!B55</f>
        <v>0</v>
      </c>
      <c r="C58" s="66">
        <f>'STUDENT DETAILS'!C55</f>
        <v>0</v>
      </c>
      <c r="D58" s="66">
        <f>'STUDENT DETAILS'!D55</f>
        <v>0</v>
      </c>
      <c r="E58" s="94">
        <f>'STUDENT DETAILS'!E55</f>
        <v>0</v>
      </c>
      <c r="F58" s="66" t="b">
        <f t="shared" si="0"/>
        <v>0</v>
      </c>
      <c r="G58" s="66"/>
      <c r="H58" s="66"/>
      <c r="I58" s="66"/>
      <c r="J58" s="66"/>
      <c r="K58" s="66">
        <f t="shared" si="1"/>
        <v>0</v>
      </c>
      <c r="L58" s="66">
        <f t="shared" si="2"/>
        <v>0</v>
      </c>
      <c r="M58" s="66" t="str">
        <f t="shared" si="3"/>
        <v>UNPAID</v>
      </c>
    </row>
    <row r="59" spans="1:13" x14ac:dyDescent="0.3">
      <c r="A59" s="66">
        <f>'STUDENT DETAILS'!A56</f>
        <v>0</v>
      </c>
      <c r="B59" s="66">
        <f>'STUDENT DETAILS'!B56</f>
        <v>0</v>
      </c>
      <c r="C59" s="66">
        <f>'STUDENT DETAILS'!C56</f>
        <v>0</v>
      </c>
      <c r="D59" s="66">
        <f>'STUDENT DETAILS'!D56</f>
        <v>0</v>
      </c>
      <c r="E59" s="94">
        <f>'STUDENT DETAILS'!E56</f>
        <v>0</v>
      </c>
      <c r="F59" s="66" t="b">
        <f t="shared" si="0"/>
        <v>0</v>
      </c>
      <c r="G59" s="66"/>
      <c r="H59" s="66"/>
      <c r="I59" s="66"/>
      <c r="J59" s="66"/>
      <c r="K59" s="66">
        <f t="shared" si="1"/>
        <v>0</v>
      </c>
      <c r="L59" s="66">
        <f t="shared" si="2"/>
        <v>0</v>
      </c>
      <c r="M59" s="66" t="str">
        <f t="shared" si="3"/>
        <v>UNPAID</v>
      </c>
    </row>
    <row r="60" spans="1:13" x14ac:dyDescent="0.3">
      <c r="A60" s="66">
        <f>'STUDENT DETAILS'!A57</f>
        <v>0</v>
      </c>
      <c r="B60" s="66">
        <f>'STUDENT DETAILS'!B57</f>
        <v>0</v>
      </c>
      <c r="C60" s="66">
        <f>'STUDENT DETAILS'!C57</f>
        <v>0</v>
      </c>
      <c r="D60" s="66">
        <f>'STUDENT DETAILS'!D57</f>
        <v>0</v>
      </c>
      <c r="E60" s="94">
        <f>'STUDENT DETAILS'!E57</f>
        <v>0</v>
      </c>
      <c r="F60" s="66" t="b">
        <f t="shared" si="0"/>
        <v>0</v>
      </c>
      <c r="G60" s="66"/>
      <c r="H60" s="66"/>
      <c r="I60" s="66"/>
      <c r="J60" s="66"/>
      <c r="K60" s="66">
        <f t="shared" si="1"/>
        <v>0</v>
      </c>
      <c r="L60" s="66">
        <f t="shared" si="2"/>
        <v>0</v>
      </c>
      <c r="M60" s="66" t="str">
        <f t="shared" si="3"/>
        <v>UNPAID</v>
      </c>
    </row>
    <row r="61" spans="1:13" x14ac:dyDescent="0.3">
      <c r="A61" s="66">
        <f>'STUDENT DETAILS'!A58</f>
        <v>0</v>
      </c>
      <c r="B61" s="66">
        <f>'STUDENT DETAILS'!B58</f>
        <v>0</v>
      </c>
      <c r="C61" s="66">
        <f>'STUDENT DETAILS'!C58</f>
        <v>0</v>
      </c>
      <c r="D61" s="66">
        <f>'STUDENT DETAILS'!D58</f>
        <v>0</v>
      </c>
      <c r="E61" s="94">
        <f>'STUDENT DETAILS'!E58</f>
        <v>0</v>
      </c>
      <c r="F61" s="66" t="b">
        <f t="shared" si="0"/>
        <v>0</v>
      </c>
      <c r="G61" s="66"/>
      <c r="H61" s="66"/>
      <c r="I61" s="66"/>
      <c r="J61" s="66"/>
      <c r="K61" s="66">
        <f t="shared" si="1"/>
        <v>0</v>
      </c>
      <c r="L61" s="66">
        <f t="shared" si="2"/>
        <v>0</v>
      </c>
      <c r="M61" s="66" t="str">
        <f t="shared" si="3"/>
        <v>UNPAID</v>
      </c>
    </row>
    <row r="62" spans="1:13" x14ac:dyDescent="0.3">
      <c r="A62" s="66">
        <f>'STUDENT DETAILS'!A59</f>
        <v>0</v>
      </c>
      <c r="B62" s="66">
        <f>'STUDENT DETAILS'!B59</f>
        <v>0</v>
      </c>
      <c r="C62" s="66">
        <f>'STUDENT DETAILS'!C59</f>
        <v>0</v>
      </c>
      <c r="D62" s="66">
        <f>'STUDENT DETAILS'!D59</f>
        <v>0</v>
      </c>
      <c r="E62" s="94">
        <f>'STUDENT DETAILS'!E59</f>
        <v>0</v>
      </c>
      <c r="F62" s="66" t="b">
        <f t="shared" si="0"/>
        <v>0</v>
      </c>
      <c r="G62" s="66"/>
      <c r="H62" s="66"/>
      <c r="I62" s="66"/>
      <c r="J62" s="66"/>
      <c r="K62" s="66">
        <f t="shared" si="1"/>
        <v>0</v>
      </c>
      <c r="L62" s="66">
        <f t="shared" si="2"/>
        <v>0</v>
      </c>
      <c r="M62" s="66" t="str">
        <f t="shared" si="3"/>
        <v>UNPAID</v>
      </c>
    </row>
    <row r="63" spans="1:13" x14ac:dyDescent="0.3">
      <c r="A63" s="66">
        <f>'STUDENT DETAILS'!A60</f>
        <v>0</v>
      </c>
      <c r="B63" s="66">
        <f>'STUDENT DETAILS'!B60</f>
        <v>0</v>
      </c>
      <c r="C63" s="66">
        <f>'STUDENT DETAILS'!C60</f>
        <v>0</v>
      </c>
      <c r="D63" s="66">
        <f>'STUDENT DETAILS'!D60</f>
        <v>0</v>
      </c>
      <c r="E63" s="94">
        <f>'STUDENT DETAILS'!E60</f>
        <v>0</v>
      </c>
      <c r="F63" s="66" t="b">
        <f t="shared" si="0"/>
        <v>0</v>
      </c>
      <c r="G63" s="66"/>
      <c r="H63" s="66"/>
      <c r="I63" s="66"/>
      <c r="J63" s="66"/>
      <c r="K63" s="66">
        <f t="shared" si="1"/>
        <v>0</v>
      </c>
      <c r="L63" s="66">
        <f t="shared" si="2"/>
        <v>0</v>
      </c>
      <c r="M63" s="66" t="str">
        <f t="shared" si="3"/>
        <v>UNPAID</v>
      </c>
    </row>
    <row r="64" spans="1:13" x14ac:dyDescent="0.3">
      <c r="A64" s="66">
        <f>'STUDENT DETAILS'!A61</f>
        <v>0</v>
      </c>
      <c r="B64" s="66">
        <f>'STUDENT DETAILS'!B61</f>
        <v>0</v>
      </c>
      <c r="C64" s="66">
        <f>'STUDENT DETAILS'!C61</f>
        <v>0</v>
      </c>
      <c r="D64" s="66">
        <f>'STUDENT DETAILS'!D61</f>
        <v>0</v>
      </c>
      <c r="E64" s="94">
        <f>'STUDENT DETAILS'!E61</f>
        <v>0</v>
      </c>
      <c r="F64" s="66" t="b">
        <f t="shared" si="0"/>
        <v>0</v>
      </c>
      <c r="G64" s="66"/>
      <c r="H64" s="66"/>
      <c r="I64" s="66"/>
      <c r="J64" s="66"/>
      <c r="K64" s="66">
        <f t="shared" si="1"/>
        <v>0</v>
      </c>
      <c r="L64" s="66">
        <f t="shared" si="2"/>
        <v>0</v>
      </c>
      <c r="M64" s="66" t="str">
        <f t="shared" si="3"/>
        <v>UNPAID</v>
      </c>
    </row>
    <row r="65" spans="1:13" x14ac:dyDescent="0.3">
      <c r="A65" s="66">
        <f>'STUDENT DETAILS'!A62</f>
        <v>0</v>
      </c>
      <c r="B65" s="66">
        <f>'STUDENT DETAILS'!B62</f>
        <v>0</v>
      </c>
      <c r="C65" s="66">
        <f>'STUDENT DETAILS'!C62</f>
        <v>0</v>
      </c>
      <c r="D65" s="66">
        <f>'STUDENT DETAILS'!D62</f>
        <v>0</v>
      </c>
      <c r="E65" s="94">
        <f>'STUDENT DETAILS'!E62</f>
        <v>0</v>
      </c>
      <c r="F65" s="66" t="b">
        <f t="shared" si="0"/>
        <v>0</v>
      </c>
      <c r="G65" s="66"/>
      <c r="H65" s="66"/>
      <c r="I65" s="66"/>
      <c r="J65" s="66"/>
      <c r="K65" s="66">
        <f t="shared" si="1"/>
        <v>0</v>
      </c>
      <c r="L65" s="66">
        <f t="shared" si="2"/>
        <v>0</v>
      </c>
      <c r="M65" s="66" t="str">
        <f t="shared" si="3"/>
        <v>UNPAID</v>
      </c>
    </row>
    <row r="66" spans="1:13" x14ac:dyDescent="0.3">
      <c r="A66" s="66">
        <f>'STUDENT DETAILS'!A63</f>
        <v>0</v>
      </c>
      <c r="B66" s="66">
        <f>'STUDENT DETAILS'!B63</f>
        <v>0</v>
      </c>
      <c r="C66" s="66">
        <f>'STUDENT DETAILS'!C63</f>
        <v>0</v>
      </c>
      <c r="D66" s="66">
        <f>'STUDENT DETAILS'!D63</f>
        <v>0</v>
      </c>
      <c r="E66" s="94">
        <f>'STUDENT DETAILS'!E63</f>
        <v>0</v>
      </c>
      <c r="F66" s="66" t="b">
        <f t="shared" si="0"/>
        <v>0</v>
      </c>
      <c r="G66" s="66"/>
      <c r="H66" s="66"/>
      <c r="I66" s="66"/>
      <c r="J66" s="66"/>
      <c r="K66" s="66">
        <f t="shared" si="1"/>
        <v>0</v>
      </c>
      <c r="L66" s="66">
        <f t="shared" si="2"/>
        <v>0</v>
      </c>
      <c r="M66" s="66" t="str">
        <f t="shared" si="3"/>
        <v>UNPAID</v>
      </c>
    </row>
    <row r="67" spans="1:13" x14ac:dyDescent="0.3">
      <c r="A67" s="66">
        <f>'STUDENT DETAILS'!A64</f>
        <v>0</v>
      </c>
      <c r="B67" s="66">
        <f>'STUDENT DETAILS'!B64</f>
        <v>0</v>
      </c>
      <c r="C67" s="66">
        <f>'STUDENT DETAILS'!C64</f>
        <v>0</v>
      </c>
      <c r="D67" s="66">
        <f>'STUDENT DETAILS'!D64</f>
        <v>0</v>
      </c>
      <c r="E67" s="94">
        <f>'STUDENT DETAILS'!E64</f>
        <v>0</v>
      </c>
      <c r="F67" s="66" t="b">
        <f t="shared" si="0"/>
        <v>0</v>
      </c>
      <c r="G67" s="66"/>
      <c r="H67" s="66"/>
      <c r="I67" s="66"/>
      <c r="J67" s="66"/>
      <c r="K67" s="66">
        <f t="shared" si="1"/>
        <v>0</v>
      </c>
      <c r="L67" s="66">
        <f t="shared" si="2"/>
        <v>0</v>
      </c>
      <c r="M67" s="66" t="str">
        <f t="shared" si="3"/>
        <v>UNPAID</v>
      </c>
    </row>
    <row r="68" spans="1:13" x14ac:dyDescent="0.3">
      <c r="A68" s="66">
        <f>'STUDENT DETAILS'!A65</f>
        <v>0</v>
      </c>
      <c r="B68" s="66">
        <f>'STUDENT DETAILS'!B65</f>
        <v>0</v>
      </c>
      <c r="C68" s="66">
        <f>'STUDENT DETAILS'!C65</f>
        <v>0</v>
      </c>
      <c r="D68" s="66">
        <f>'STUDENT DETAILS'!D65</f>
        <v>0</v>
      </c>
      <c r="E68" s="94">
        <f>'STUDENT DETAILS'!E65</f>
        <v>0</v>
      </c>
      <c r="F68" s="66" t="b">
        <f t="shared" si="0"/>
        <v>0</v>
      </c>
      <c r="G68" s="66"/>
      <c r="H68" s="66"/>
      <c r="I68" s="66"/>
      <c r="J68" s="66"/>
      <c r="K68" s="66">
        <f t="shared" si="1"/>
        <v>0</v>
      </c>
      <c r="L68" s="66">
        <f t="shared" si="2"/>
        <v>0</v>
      </c>
      <c r="M68" s="66" t="str">
        <f t="shared" si="3"/>
        <v>UNPAID</v>
      </c>
    </row>
    <row r="69" spans="1:13" x14ac:dyDescent="0.3">
      <c r="A69" s="66">
        <f>'STUDENT DETAILS'!A66</f>
        <v>0</v>
      </c>
      <c r="B69" s="66">
        <f>'STUDENT DETAILS'!B66</f>
        <v>0</v>
      </c>
      <c r="C69" s="66">
        <f>'STUDENT DETAILS'!C66</f>
        <v>0</v>
      </c>
      <c r="D69" s="66">
        <f>'STUDENT DETAILS'!D66</f>
        <v>0</v>
      </c>
      <c r="E69" s="94">
        <f>'STUDENT DETAILS'!E66</f>
        <v>0</v>
      </c>
      <c r="F69" s="66" t="b">
        <f t="shared" si="0"/>
        <v>0</v>
      </c>
      <c r="G69" s="66"/>
      <c r="H69" s="66"/>
      <c r="I69" s="66"/>
      <c r="J69" s="66"/>
      <c r="K69" s="66">
        <f t="shared" si="1"/>
        <v>0</v>
      </c>
      <c r="L69" s="66">
        <f t="shared" si="2"/>
        <v>0</v>
      </c>
      <c r="M69" s="66" t="str">
        <f t="shared" si="3"/>
        <v>UNPAID</v>
      </c>
    </row>
    <row r="70" spans="1:13" x14ac:dyDescent="0.3">
      <c r="A70" s="66">
        <f>'STUDENT DETAILS'!A67</f>
        <v>0</v>
      </c>
      <c r="B70" s="66">
        <f>'STUDENT DETAILS'!B67</f>
        <v>0</v>
      </c>
      <c r="C70" s="66">
        <f>'STUDENT DETAILS'!C67</f>
        <v>0</v>
      </c>
      <c r="D70" s="66">
        <f>'STUDENT DETAILS'!D67</f>
        <v>0</v>
      </c>
      <c r="E70" s="94">
        <f>'STUDENT DETAILS'!E67</f>
        <v>0</v>
      </c>
      <c r="F70" s="66" t="b">
        <f t="shared" si="0"/>
        <v>0</v>
      </c>
      <c r="G70" s="66"/>
      <c r="H70" s="66"/>
      <c r="I70" s="66"/>
      <c r="J70" s="66"/>
      <c r="K70" s="66">
        <f t="shared" si="1"/>
        <v>0</v>
      </c>
      <c r="L70" s="66">
        <f t="shared" si="2"/>
        <v>0</v>
      </c>
      <c r="M70" s="66" t="str">
        <f t="shared" si="3"/>
        <v>UNPAID</v>
      </c>
    </row>
    <row r="71" spans="1:13" x14ac:dyDescent="0.3">
      <c r="A71" s="66">
        <f>'STUDENT DETAILS'!A68</f>
        <v>0</v>
      </c>
      <c r="B71" s="66">
        <f>'STUDENT DETAILS'!B68</f>
        <v>0</v>
      </c>
      <c r="C71" s="66">
        <f>'STUDENT DETAILS'!C68</f>
        <v>0</v>
      </c>
      <c r="D71" s="66">
        <f>'STUDENT DETAILS'!D68</f>
        <v>0</v>
      </c>
      <c r="E71" s="94">
        <f>'STUDENT DETAILS'!E68</f>
        <v>0</v>
      </c>
      <c r="F71" s="66" t="b">
        <f t="shared" ref="F71:F134" si="4">IF(C71="LKG",2000,IF(C71="HKG",3000,IF(C71="1st",4000,IF(C71="2nd",5000,IF(C71="3rd",6000,IF(C71="4th",7000,IF(C71="5th",8000,IF(C71="6th",9000,IF(C71="7th",10000,IF(C71="8th",10500,IF(C71="9th",10700,IF(C71="10th",11000,IF(C71="",0)))))))))))))</f>
        <v>0</v>
      </c>
      <c r="G71" s="66"/>
      <c r="H71" s="66"/>
      <c r="I71" s="66"/>
      <c r="J71" s="66"/>
      <c r="K71" s="66">
        <f t="shared" ref="K71:K134" si="5">SUM(G71:J71)</f>
        <v>0</v>
      </c>
      <c r="L71" s="66">
        <f t="shared" ref="L71:L134" si="6">F71-K71</f>
        <v>0</v>
      </c>
      <c r="M71" s="66" t="str">
        <f t="shared" ref="M71:M134" si="7">IF(K71&gt;=F71,"COMPLETED","UNPAID")</f>
        <v>UNPAID</v>
      </c>
    </row>
    <row r="72" spans="1:13" x14ac:dyDescent="0.3">
      <c r="A72" s="66">
        <f>'STUDENT DETAILS'!A69</f>
        <v>0</v>
      </c>
      <c r="B72" s="66">
        <f>'STUDENT DETAILS'!B69</f>
        <v>0</v>
      </c>
      <c r="C72" s="66">
        <f>'STUDENT DETAILS'!C69</f>
        <v>0</v>
      </c>
      <c r="D72" s="66">
        <f>'STUDENT DETAILS'!D69</f>
        <v>0</v>
      </c>
      <c r="E72" s="94">
        <f>'STUDENT DETAILS'!E69</f>
        <v>0</v>
      </c>
      <c r="F72" s="66" t="b">
        <f t="shared" si="4"/>
        <v>0</v>
      </c>
      <c r="G72" s="66"/>
      <c r="H72" s="66"/>
      <c r="I72" s="66"/>
      <c r="J72" s="66"/>
      <c r="K72" s="66">
        <f t="shared" si="5"/>
        <v>0</v>
      </c>
      <c r="L72" s="66">
        <f t="shared" si="6"/>
        <v>0</v>
      </c>
      <c r="M72" s="66" t="str">
        <f t="shared" si="7"/>
        <v>UNPAID</v>
      </c>
    </row>
    <row r="73" spans="1:13" x14ac:dyDescent="0.3">
      <c r="A73" s="66">
        <f>'STUDENT DETAILS'!A70</f>
        <v>0</v>
      </c>
      <c r="B73" s="66">
        <f>'STUDENT DETAILS'!B70</f>
        <v>0</v>
      </c>
      <c r="C73" s="66">
        <f>'STUDENT DETAILS'!C70</f>
        <v>0</v>
      </c>
      <c r="D73" s="66">
        <f>'STUDENT DETAILS'!D70</f>
        <v>0</v>
      </c>
      <c r="E73" s="94">
        <f>'STUDENT DETAILS'!E70</f>
        <v>0</v>
      </c>
      <c r="F73" s="66" t="b">
        <f t="shared" si="4"/>
        <v>0</v>
      </c>
      <c r="G73" s="66"/>
      <c r="H73" s="66"/>
      <c r="I73" s="66"/>
      <c r="J73" s="66"/>
      <c r="K73" s="66">
        <f t="shared" si="5"/>
        <v>0</v>
      </c>
      <c r="L73" s="66">
        <f t="shared" si="6"/>
        <v>0</v>
      </c>
      <c r="M73" s="66" t="str">
        <f t="shared" si="7"/>
        <v>UNPAID</v>
      </c>
    </row>
    <row r="74" spans="1:13" x14ac:dyDescent="0.3">
      <c r="A74" s="66">
        <f>'STUDENT DETAILS'!A71</f>
        <v>0</v>
      </c>
      <c r="B74" s="66">
        <f>'STUDENT DETAILS'!B71</f>
        <v>0</v>
      </c>
      <c r="C74" s="66">
        <f>'STUDENT DETAILS'!C71</f>
        <v>0</v>
      </c>
      <c r="D74" s="66">
        <f>'STUDENT DETAILS'!D71</f>
        <v>0</v>
      </c>
      <c r="E74" s="94">
        <f>'STUDENT DETAILS'!E71</f>
        <v>0</v>
      </c>
      <c r="F74" s="66" t="b">
        <f t="shared" si="4"/>
        <v>0</v>
      </c>
      <c r="G74" s="66"/>
      <c r="H74" s="66"/>
      <c r="I74" s="66"/>
      <c r="J74" s="66"/>
      <c r="K74" s="66">
        <f t="shared" si="5"/>
        <v>0</v>
      </c>
      <c r="L74" s="66">
        <f t="shared" si="6"/>
        <v>0</v>
      </c>
      <c r="M74" s="66" t="str">
        <f t="shared" si="7"/>
        <v>UNPAID</v>
      </c>
    </row>
    <row r="75" spans="1:13" x14ac:dyDescent="0.3">
      <c r="A75" s="66">
        <f>'STUDENT DETAILS'!A72</f>
        <v>0</v>
      </c>
      <c r="B75" s="66">
        <f>'STUDENT DETAILS'!B72</f>
        <v>0</v>
      </c>
      <c r="C75" s="66">
        <f>'STUDENT DETAILS'!C72</f>
        <v>0</v>
      </c>
      <c r="D75" s="66">
        <f>'STUDENT DETAILS'!D72</f>
        <v>0</v>
      </c>
      <c r="E75" s="94">
        <f>'STUDENT DETAILS'!E72</f>
        <v>0</v>
      </c>
      <c r="F75" s="66" t="b">
        <f t="shared" si="4"/>
        <v>0</v>
      </c>
      <c r="G75" s="66"/>
      <c r="H75" s="66"/>
      <c r="I75" s="66"/>
      <c r="J75" s="66"/>
      <c r="K75" s="66">
        <f t="shared" si="5"/>
        <v>0</v>
      </c>
      <c r="L75" s="66">
        <f t="shared" si="6"/>
        <v>0</v>
      </c>
      <c r="M75" s="66" t="str">
        <f t="shared" si="7"/>
        <v>UNPAID</v>
      </c>
    </row>
    <row r="76" spans="1:13" x14ac:dyDescent="0.3">
      <c r="A76" s="66">
        <f>'STUDENT DETAILS'!A73</f>
        <v>0</v>
      </c>
      <c r="B76" s="66">
        <f>'STUDENT DETAILS'!B73</f>
        <v>0</v>
      </c>
      <c r="C76" s="66">
        <f>'STUDENT DETAILS'!C73</f>
        <v>0</v>
      </c>
      <c r="D76" s="66">
        <f>'STUDENT DETAILS'!D73</f>
        <v>0</v>
      </c>
      <c r="E76" s="94">
        <f>'STUDENT DETAILS'!E73</f>
        <v>0</v>
      </c>
      <c r="F76" s="66" t="b">
        <f t="shared" si="4"/>
        <v>0</v>
      </c>
      <c r="G76" s="66"/>
      <c r="H76" s="66"/>
      <c r="I76" s="66"/>
      <c r="J76" s="66"/>
      <c r="K76" s="66">
        <f t="shared" si="5"/>
        <v>0</v>
      </c>
      <c r="L76" s="66">
        <f t="shared" si="6"/>
        <v>0</v>
      </c>
      <c r="M76" s="66" t="str">
        <f t="shared" si="7"/>
        <v>UNPAID</v>
      </c>
    </row>
    <row r="77" spans="1:13" x14ac:dyDescent="0.3">
      <c r="A77" s="66">
        <f>'STUDENT DETAILS'!A74</f>
        <v>0</v>
      </c>
      <c r="B77" s="66">
        <f>'STUDENT DETAILS'!B74</f>
        <v>0</v>
      </c>
      <c r="C77" s="66">
        <f>'STUDENT DETAILS'!C74</f>
        <v>0</v>
      </c>
      <c r="D77" s="66">
        <f>'STUDENT DETAILS'!D74</f>
        <v>0</v>
      </c>
      <c r="E77" s="94">
        <f>'STUDENT DETAILS'!E74</f>
        <v>0</v>
      </c>
      <c r="F77" s="66" t="b">
        <f t="shared" si="4"/>
        <v>0</v>
      </c>
      <c r="G77" s="66"/>
      <c r="H77" s="66"/>
      <c r="I77" s="66"/>
      <c r="J77" s="66"/>
      <c r="K77" s="66">
        <f t="shared" si="5"/>
        <v>0</v>
      </c>
      <c r="L77" s="66">
        <f t="shared" si="6"/>
        <v>0</v>
      </c>
      <c r="M77" s="66" t="str">
        <f t="shared" si="7"/>
        <v>UNPAID</v>
      </c>
    </row>
    <row r="78" spans="1:13" x14ac:dyDescent="0.3">
      <c r="A78" s="66">
        <f>'STUDENT DETAILS'!A75</f>
        <v>0</v>
      </c>
      <c r="B78" s="66">
        <f>'STUDENT DETAILS'!B75</f>
        <v>0</v>
      </c>
      <c r="C78" s="66">
        <f>'STUDENT DETAILS'!C75</f>
        <v>0</v>
      </c>
      <c r="D78" s="66">
        <f>'STUDENT DETAILS'!D75</f>
        <v>0</v>
      </c>
      <c r="E78" s="94">
        <f>'STUDENT DETAILS'!E75</f>
        <v>0</v>
      </c>
      <c r="F78" s="66" t="b">
        <f t="shared" si="4"/>
        <v>0</v>
      </c>
      <c r="G78" s="66"/>
      <c r="H78" s="66"/>
      <c r="I78" s="66"/>
      <c r="J78" s="66"/>
      <c r="K78" s="66">
        <f t="shared" si="5"/>
        <v>0</v>
      </c>
      <c r="L78" s="66">
        <f t="shared" si="6"/>
        <v>0</v>
      </c>
      <c r="M78" s="66" t="str">
        <f t="shared" si="7"/>
        <v>UNPAID</v>
      </c>
    </row>
    <row r="79" spans="1:13" x14ac:dyDescent="0.3">
      <c r="A79" s="66">
        <f>'STUDENT DETAILS'!A76</f>
        <v>0</v>
      </c>
      <c r="B79" s="66">
        <f>'STUDENT DETAILS'!B76</f>
        <v>0</v>
      </c>
      <c r="C79" s="66">
        <f>'STUDENT DETAILS'!C76</f>
        <v>0</v>
      </c>
      <c r="D79" s="66">
        <f>'STUDENT DETAILS'!D76</f>
        <v>0</v>
      </c>
      <c r="E79" s="94">
        <f>'STUDENT DETAILS'!E76</f>
        <v>0</v>
      </c>
      <c r="F79" s="66" t="b">
        <f t="shared" si="4"/>
        <v>0</v>
      </c>
      <c r="G79" s="66"/>
      <c r="H79" s="66"/>
      <c r="I79" s="66"/>
      <c r="J79" s="66"/>
      <c r="K79" s="66">
        <f t="shared" si="5"/>
        <v>0</v>
      </c>
      <c r="L79" s="66">
        <f t="shared" si="6"/>
        <v>0</v>
      </c>
      <c r="M79" s="66" t="str">
        <f t="shared" si="7"/>
        <v>UNPAID</v>
      </c>
    </row>
    <row r="80" spans="1:13" x14ac:dyDescent="0.3">
      <c r="A80" s="66">
        <f>'STUDENT DETAILS'!A77</f>
        <v>0</v>
      </c>
      <c r="B80" s="66">
        <f>'STUDENT DETAILS'!B77</f>
        <v>0</v>
      </c>
      <c r="C80" s="66">
        <f>'STUDENT DETAILS'!C77</f>
        <v>0</v>
      </c>
      <c r="D80" s="66">
        <f>'STUDENT DETAILS'!D77</f>
        <v>0</v>
      </c>
      <c r="E80" s="94">
        <f>'STUDENT DETAILS'!E77</f>
        <v>0</v>
      </c>
      <c r="F80" s="66" t="b">
        <f t="shared" si="4"/>
        <v>0</v>
      </c>
      <c r="G80" s="66"/>
      <c r="H80" s="66"/>
      <c r="I80" s="66"/>
      <c r="J80" s="66"/>
      <c r="K80" s="66">
        <f t="shared" si="5"/>
        <v>0</v>
      </c>
      <c r="L80" s="66">
        <f t="shared" si="6"/>
        <v>0</v>
      </c>
      <c r="M80" s="66" t="str">
        <f t="shared" si="7"/>
        <v>UNPAID</v>
      </c>
    </row>
    <row r="81" spans="1:13" x14ac:dyDescent="0.3">
      <c r="A81" s="66">
        <f>'STUDENT DETAILS'!A78</f>
        <v>0</v>
      </c>
      <c r="B81" s="66">
        <f>'STUDENT DETAILS'!B78</f>
        <v>0</v>
      </c>
      <c r="C81" s="66">
        <f>'STUDENT DETAILS'!C78</f>
        <v>0</v>
      </c>
      <c r="D81" s="66">
        <f>'STUDENT DETAILS'!D78</f>
        <v>0</v>
      </c>
      <c r="E81" s="94">
        <f>'STUDENT DETAILS'!E78</f>
        <v>0</v>
      </c>
      <c r="F81" s="66" t="b">
        <f t="shared" si="4"/>
        <v>0</v>
      </c>
      <c r="G81" s="66"/>
      <c r="H81" s="66"/>
      <c r="I81" s="66"/>
      <c r="J81" s="66"/>
      <c r="K81" s="66">
        <f t="shared" si="5"/>
        <v>0</v>
      </c>
      <c r="L81" s="66">
        <f t="shared" si="6"/>
        <v>0</v>
      </c>
      <c r="M81" s="66" t="str">
        <f t="shared" si="7"/>
        <v>UNPAID</v>
      </c>
    </row>
    <row r="82" spans="1:13" x14ac:dyDescent="0.3">
      <c r="A82" s="66">
        <f>'STUDENT DETAILS'!A79</f>
        <v>0</v>
      </c>
      <c r="B82" s="66">
        <f>'STUDENT DETAILS'!B79</f>
        <v>0</v>
      </c>
      <c r="C82" s="66">
        <f>'STUDENT DETAILS'!C79</f>
        <v>0</v>
      </c>
      <c r="D82" s="66">
        <f>'STUDENT DETAILS'!D79</f>
        <v>0</v>
      </c>
      <c r="E82" s="94">
        <f>'STUDENT DETAILS'!E79</f>
        <v>0</v>
      </c>
      <c r="F82" s="66" t="b">
        <f t="shared" si="4"/>
        <v>0</v>
      </c>
      <c r="G82" s="66"/>
      <c r="H82" s="66"/>
      <c r="I82" s="66"/>
      <c r="J82" s="66"/>
      <c r="K82" s="66">
        <f t="shared" si="5"/>
        <v>0</v>
      </c>
      <c r="L82" s="66">
        <f t="shared" si="6"/>
        <v>0</v>
      </c>
      <c r="M82" s="66" t="str">
        <f t="shared" si="7"/>
        <v>UNPAID</v>
      </c>
    </row>
    <row r="83" spans="1:13" x14ac:dyDescent="0.3">
      <c r="A83" s="66">
        <f>'STUDENT DETAILS'!A80</f>
        <v>0</v>
      </c>
      <c r="B83" s="66">
        <f>'STUDENT DETAILS'!B80</f>
        <v>0</v>
      </c>
      <c r="C83" s="66">
        <f>'STUDENT DETAILS'!C80</f>
        <v>0</v>
      </c>
      <c r="D83" s="66">
        <f>'STUDENT DETAILS'!D80</f>
        <v>0</v>
      </c>
      <c r="E83" s="94">
        <f>'STUDENT DETAILS'!E80</f>
        <v>0</v>
      </c>
      <c r="F83" s="66" t="b">
        <f t="shared" si="4"/>
        <v>0</v>
      </c>
      <c r="G83" s="66"/>
      <c r="H83" s="66"/>
      <c r="I83" s="66"/>
      <c r="J83" s="66"/>
      <c r="K83" s="66">
        <f t="shared" si="5"/>
        <v>0</v>
      </c>
      <c r="L83" s="66">
        <f t="shared" si="6"/>
        <v>0</v>
      </c>
      <c r="M83" s="66" t="str">
        <f t="shared" si="7"/>
        <v>UNPAID</v>
      </c>
    </row>
    <row r="84" spans="1:13" x14ac:dyDescent="0.3">
      <c r="A84" s="66">
        <f>'STUDENT DETAILS'!A81</f>
        <v>0</v>
      </c>
      <c r="B84" s="66">
        <f>'STUDENT DETAILS'!B81</f>
        <v>0</v>
      </c>
      <c r="C84" s="66">
        <f>'STUDENT DETAILS'!C81</f>
        <v>0</v>
      </c>
      <c r="D84" s="66">
        <f>'STUDENT DETAILS'!D81</f>
        <v>0</v>
      </c>
      <c r="E84" s="94">
        <f>'STUDENT DETAILS'!E81</f>
        <v>0</v>
      </c>
      <c r="F84" s="66" t="b">
        <f t="shared" si="4"/>
        <v>0</v>
      </c>
      <c r="G84" s="66"/>
      <c r="H84" s="66"/>
      <c r="I84" s="66"/>
      <c r="J84" s="66"/>
      <c r="K84" s="66">
        <f t="shared" si="5"/>
        <v>0</v>
      </c>
      <c r="L84" s="66">
        <f t="shared" si="6"/>
        <v>0</v>
      </c>
      <c r="M84" s="66" t="str">
        <f t="shared" si="7"/>
        <v>UNPAID</v>
      </c>
    </row>
    <row r="85" spans="1:13" x14ac:dyDescent="0.3">
      <c r="A85" s="66">
        <f>'STUDENT DETAILS'!A82</f>
        <v>0</v>
      </c>
      <c r="B85" s="66">
        <f>'STUDENT DETAILS'!B82</f>
        <v>0</v>
      </c>
      <c r="C85" s="66">
        <f>'STUDENT DETAILS'!C82</f>
        <v>0</v>
      </c>
      <c r="D85" s="66">
        <f>'STUDENT DETAILS'!D82</f>
        <v>0</v>
      </c>
      <c r="E85" s="94">
        <f>'STUDENT DETAILS'!E82</f>
        <v>0</v>
      </c>
      <c r="F85" s="66" t="b">
        <f t="shared" si="4"/>
        <v>0</v>
      </c>
      <c r="G85" s="66"/>
      <c r="H85" s="66"/>
      <c r="I85" s="66"/>
      <c r="J85" s="66"/>
      <c r="K85" s="66">
        <f t="shared" si="5"/>
        <v>0</v>
      </c>
      <c r="L85" s="66">
        <f t="shared" si="6"/>
        <v>0</v>
      </c>
      <c r="M85" s="66" t="str">
        <f t="shared" si="7"/>
        <v>UNPAID</v>
      </c>
    </row>
    <row r="86" spans="1:13" x14ac:dyDescent="0.3">
      <c r="A86" s="66">
        <f>'STUDENT DETAILS'!A83</f>
        <v>0</v>
      </c>
      <c r="B86" s="66">
        <f>'STUDENT DETAILS'!B83</f>
        <v>0</v>
      </c>
      <c r="C86" s="66">
        <f>'STUDENT DETAILS'!C83</f>
        <v>0</v>
      </c>
      <c r="D86" s="66">
        <f>'STUDENT DETAILS'!D83</f>
        <v>0</v>
      </c>
      <c r="E86" s="94">
        <f>'STUDENT DETAILS'!E83</f>
        <v>0</v>
      </c>
      <c r="F86" s="66" t="b">
        <f t="shared" si="4"/>
        <v>0</v>
      </c>
      <c r="G86" s="66"/>
      <c r="H86" s="66"/>
      <c r="I86" s="66"/>
      <c r="J86" s="66"/>
      <c r="K86" s="66">
        <f t="shared" si="5"/>
        <v>0</v>
      </c>
      <c r="L86" s="66">
        <f t="shared" si="6"/>
        <v>0</v>
      </c>
      <c r="M86" s="66" t="str">
        <f t="shared" si="7"/>
        <v>UNPAID</v>
      </c>
    </row>
    <row r="87" spans="1:13" x14ac:dyDescent="0.3">
      <c r="A87" s="66">
        <f>'STUDENT DETAILS'!A84</f>
        <v>0</v>
      </c>
      <c r="B87" s="66">
        <f>'STUDENT DETAILS'!B84</f>
        <v>0</v>
      </c>
      <c r="C87" s="66">
        <f>'STUDENT DETAILS'!C84</f>
        <v>0</v>
      </c>
      <c r="D87" s="66">
        <f>'STUDENT DETAILS'!D84</f>
        <v>0</v>
      </c>
      <c r="E87" s="94">
        <f>'STUDENT DETAILS'!E84</f>
        <v>0</v>
      </c>
      <c r="F87" s="66" t="b">
        <f t="shared" si="4"/>
        <v>0</v>
      </c>
      <c r="G87" s="66"/>
      <c r="H87" s="66"/>
      <c r="I87" s="66"/>
      <c r="J87" s="66"/>
      <c r="K87" s="66">
        <f t="shared" si="5"/>
        <v>0</v>
      </c>
      <c r="L87" s="66">
        <f t="shared" si="6"/>
        <v>0</v>
      </c>
      <c r="M87" s="66" t="str">
        <f t="shared" si="7"/>
        <v>UNPAID</v>
      </c>
    </row>
    <row r="88" spans="1:13" x14ac:dyDescent="0.3">
      <c r="A88" s="66">
        <f>'STUDENT DETAILS'!A85</f>
        <v>0</v>
      </c>
      <c r="B88" s="66">
        <f>'STUDENT DETAILS'!B85</f>
        <v>0</v>
      </c>
      <c r="C88" s="66">
        <f>'STUDENT DETAILS'!C85</f>
        <v>0</v>
      </c>
      <c r="D88" s="66">
        <f>'STUDENT DETAILS'!D85</f>
        <v>0</v>
      </c>
      <c r="E88" s="94">
        <f>'STUDENT DETAILS'!E85</f>
        <v>0</v>
      </c>
      <c r="F88" s="66" t="b">
        <f t="shared" si="4"/>
        <v>0</v>
      </c>
      <c r="G88" s="66"/>
      <c r="H88" s="66"/>
      <c r="I88" s="66"/>
      <c r="J88" s="66"/>
      <c r="K88" s="66">
        <f t="shared" si="5"/>
        <v>0</v>
      </c>
      <c r="L88" s="66">
        <f t="shared" si="6"/>
        <v>0</v>
      </c>
      <c r="M88" s="66" t="str">
        <f t="shared" si="7"/>
        <v>UNPAID</v>
      </c>
    </row>
    <row r="89" spans="1:13" x14ac:dyDescent="0.3">
      <c r="A89" s="66">
        <f>'STUDENT DETAILS'!A86</f>
        <v>0</v>
      </c>
      <c r="B89" s="66">
        <f>'STUDENT DETAILS'!B86</f>
        <v>0</v>
      </c>
      <c r="C89" s="66">
        <f>'STUDENT DETAILS'!C86</f>
        <v>0</v>
      </c>
      <c r="D89" s="66">
        <f>'STUDENT DETAILS'!D86</f>
        <v>0</v>
      </c>
      <c r="E89" s="94">
        <f>'STUDENT DETAILS'!E86</f>
        <v>0</v>
      </c>
      <c r="F89" s="66" t="b">
        <f t="shared" si="4"/>
        <v>0</v>
      </c>
      <c r="G89" s="66"/>
      <c r="H89" s="66"/>
      <c r="I89" s="66"/>
      <c r="J89" s="66"/>
      <c r="K89" s="66">
        <f t="shared" si="5"/>
        <v>0</v>
      </c>
      <c r="L89" s="66">
        <f t="shared" si="6"/>
        <v>0</v>
      </c>
      <c r="M89" s="66" t="str">
        <f t="shared" si="7"/>
        <v>UNPAID</v>
      </c>
    </row>
    <row r="90" spans="1:13" x14ac:dyDescent="0.3">
      <c r="A90" s="66">
        <f>'STUDENT DETAILS'!A87</f>
        <v>0</v>
      </c>
      <c r="B90" s="66">
        <f>'STUDENT DETAILS'!B87</f>
        <v>0</v>
      </c>
      <c r="C90" s="66">
        <f>'STUDENT DETAILS'!C87</f>
        <v>0</v>
      </c>
      <c r="D90" s="66">
        <f>'STUDENT DETAILS'!D87</f>
        <v>0</v>
      </c>
      <c r="E90" s="94">
        <f>'STUDENT DETAILS'!E87</f>
        <v>0</v>
      </c>
      <c r="F90" s="66" t="b">
        <f t="shared" si="4"/>
        <v>0</v>
      </c>
      <c r="G90" s="66"/>
      <c r="H90" s="66"/>
      <c r="I90" s="66"/>
      <c r="J90" s="66"/>
      <c r="K90" s="66">
        <f t="shared" si="5"/>
        <v>0</v>
      </c>
      <c r="L90" s="66">
        <f t="shared" si="6"/>
        <v>0</v>
      </c>
      <c r="M90" s="66" t="str">
        <f t="shared" si="7"/>
        <v>UNPAID</v>
      </c>
    </row>
    <row r="91" spans="1:13" x14ac:dyDescent="0.3">
      <c r="A91" s="66">
        <f>'STUDENT DETAILS'!A88</f>
        <v>0</v>
      </c>
      <c r="B91" s="66">
        <f>'STUDENT DETAILS'!B88</f>
        <v>0</v>
      </c>
      <c r="C91" s="66">
        <f>'STUDENT DETAILS'!C88</f>
        <v>0</v>
      </c>
      <c r="D91" s="66">
        <f>'STUDENT DETAILS'!D88</f>
        <v>0</v>
      </c>
      <c r="E91" s="94">
        <f>'STUDENT DETAILS'!E88</f>
        <v>0</v>
      </c>
      <c r="F91" s="66" t="b">
        <f t="shared" si="4"/>
        <v>0</v>
      </c>
      <c r="G91" s="66"/>
      <c r="H91" s="66"/>
      <c r="I91" s="66"/>
      <c r="J91" s="66"/>
      <c r="K91" s="66">
        <f t="shared" si="5"/>
        <v>0</v>
      </c>
      <c r="L91" s="66">
        <f t="shared" si="6"/>
        <v>0</v>
      </c>
      <c r="M91" s="66" t="str">
        <f t="shared" si="7"/>
        <v>UNPAID</v>
      </c>
    </row>
    <row r="92" spans="1:13" x14ac:dyDescent="0.3">
      <c r="A92" s="66">
        <f>'STUDENT DETAILS'!A89</f>
        <v>0</v>
      </c>
      <c r="B92" s="66">
        <f>'STUDENT DETAILS'!B89</f>
        <v>0</v>
      </c>
      <c r="C92" s="66">
        <f>'STUDENT DETAILS'!C89</f>
        <v>0</v>
      </c>
      <c r="D92" s="66">
        <f>'STUDENT DETAILS'!D89</f>
        <v>0</v>
      </c>
      <c r="E92" s="94">
        <f>'STUDENT DETAILS'!E89</f>
        <v>0</v>
      </c>
      <c r="F92" s="66" t="b">
        <f t="shared" si="4"/>
        <v>0</v>
      </c>
      <c r="G92" s="66"/>
      <c r="H92" s="66"/>
      <c r="I92" s="66"/>
      <c r="J92" s="66"/>
      <c r="K92" s="66">
        <f t="shared" si="5"/>
        <v>0</v>
      </c>
      <c r="L92" s="66">
        <f t="shared" si="6"/>
        <v>0</v>
      </c>
      <c r="M92" s="66" t="str">
        <f t="shared" si="7"/>
        <v>UNPAID</v>
      </c>
    </row>
    <row r="93" spans="1:13" x14ac:dyDescent="0.3">
      <c r="A93" s="66">
        <f>'STUDENT DETAILS'!A90</f>
        <v>0</v>
      </c>
      <c r="B93" s="66">
        <f>'STUDENT DETAILS'!B90</f>
        <v>0</v>
      </c>
      <c r="C93" s="66">
        <f>'STUDENT DETAILS'!C90</f>
        <v>0</v>
      </c>
      <c r="D93" s="66">
        <f>'STUDENT DETAILS'!D90</f>
        <v>0</v>
      </c>
      <c r="E93" s="94">
        <f>'STUDENT DETAILS'!E90</f>
        <v>0</v>
      </c>
      <c r="F93" s="66" t="b">
        <f t="shared" si="4"/>
        <v>0</v>
      </c>
      <c r="G93" s="66"/>
      <c r="H93" s="66"/>
      <c r="I93" s="66"/>
      <c r="J93" s="66"/>
      <c r="K93" s="66">
        <f t="shared" si="5"/>
        <v>0</v>
      </c>
      <c r="L93" s="66">
        <f t="shared" si="6"/>
        <v>0</v>
      </c>
      <c r="M93" s="66" t="str">
        <f t="shared" si="7"/>
        <v>UNPAID</v>
      </c>
    </row>
    <row r="94" spans="1:13" x14ac:dyDescent="0.3">
      <c r="A94" s="66">
        <f>'STUDENT DETAILS'!A91</f>
        <v>0</v>
      </c>
      <c r="B94" s="66">
        <f>'STUDENT DETAILS'!B91</f>
        <v>0</v>
      </c>
      <c r="C94" s="66">
        <f>'STUDENT DETAILS'!C91</f>
        <v>0</v>
      </c>
      <c r="D94" s="66">
        <f>'STUDENT DETAILS'!D91</f>
        <v>0</v>
      </c>
      <c r="E94" s="94">
        <f>'STUDENT DETAILS'!E91</f>
        <v>0</v>
      </c>
      <c r="F94" s="66" t="b">
        <f t="shared" si="4"/>
        <v>0</v>
      </c>
      <c r="G94" s="66"/>
      <c r="H94" s="66"/>
      <c r="I94" s="66"/>
      <c r="J94" s="66"/>
      <c r="K94" s="66">
        <f t="shared" si="5"/>
        <v>0</v>
      </c>
      <c r="L94" s="66">
        <f t="shared" si="6"/>
        <v>0</v>
      </c>
      <c r="M94" s="66" t="str">
        <f t="shared" si="7"/>
        <v>UNPAID</v>
      </c>
    </row>
    <row r="95" spans="1:13" x14ac:dyDescent="0.3">
      <c r="A95" s="66">
        <f>'STUDENT DETAILS'!A92</f>
        <v>0</v>
      </c>
      <c r="B95" s="66">
        <f>'STUDENT DETAILS'!B92</f>
        <v>0</v>
      </c>
      <c r="C95" s="66">
        <f>'STUDENT DETAILS'!C92</f>
        <v>0</v>
      </c>
      <c r="D95" s="66">
        <f>'STUDENT DETAILS'!D92</f>
        <v>0</v>
      </c>
      <c r="E95" s="94">
        <f>'STUDENT DETAILS'!E92</f>
        <v>0</v>
      </c>
      <c r="F95" s="66" t="b">
        <f t="shared" si="4"/>
        <v>0</v>
      </c>
      <c r="G95" s="66"/>
      <c r="H95" s="66"/>
      <c r="I95" s="66"/>
      <c r="J95" s="66"/>
      <c r="K95" s="66">
        <f t="shared" si="5"/>
        <v>0</v>
      </c>
      <c r="L95" s="66">
        <f t="shared" si="6"/>
        <v>0</v>
      </c>
      <c r="M95" s="66" t="str">
        <f t="shared" si="7"/>
        <v>UNPAID</v>
      </c>
    </row>
    <row r="96" spans="1:13" x14ac:dyDescent="0.3">
      <c r="A96" s="66">
        <f>'STUDENT DETAILS'!A93</f>
        <v>0</v>
      </c>
      <c r="B96" s="66">
        <f>'STUDENT DETAILS'!B93</f>
        <v>0</v>
      </c>
      <c r="C96" s="66">
        <f>'STUDENT DETAILS'!C93</f>
        <v>0</v>
      </c>
      <c r="D96" s="66">
        <f>'STUDENT DETAILS'!D93</f>
        <v>0</v>
      </c>
      <c r="E96" s="94">
        <f>'STUDENT DETAILS'!E93</f>
        <v>0</v>
      </c>
      <c r="F96" s="66" t="b">
        <f t="shared" si="4"/>
        <v>0</v>
      </c>
      <c r="G96" s="66"/>
      <c r="H96" s="66"/>
      <c r="I96" s="66"/>
      <c r="J96" s="66"/>
      <c r="K96" s="66">
        <f t="shared" si="5"/>
        <v>0</v>
      </c>
      <c r="L96" s="66">
        <f t="shared" si="6"/>
        <v>0</v>
      </c>
      <c r="M96" s="66" t="str">
        <f t="shared" si="7"/>
        <v>UNPAID</v>
      </c>
    </row>
    <row r="97" spans="1:13" x14ac:dyDescent="0.3">
      <c r="A97" s="66">
        <f>'STUDENT DETAILS'!A94</f>
        <v>0</v>
      </c>
      <c r="B97" s="66">
        <f>'STUDENT DETAILS'!B94</f>
        <v>0</v>
      </c>
      <c r="C97" s="66">
        <f>'STUDENT DETAILS'!C94</f>
        <v>0</v>
      </c>
      <c r="D97" s="66">
        <f>'STUDENT DETAILS'!D94</f>
        <v>0</v>
      </c>
      <c r="E97" s="94">
        <f>'STUDENT DETAILS'!E94</f>
        <v>0</v>
      </c>
      <c r="F97" s="66" t="b">
        <f t="shared" si="4"/>
        <v>0</v>
      </c>
      <c r="G97" s="66"/>
      <c r="H97" s="66"/>
      <c r="I97" s="66"/>
      <c r="J97" s="66"/>
      <c r="K97" s="66">
        <f t="shared" si="5"/>
        <v>0</v>
      </c>
      <c r="L97" s="66">
        <f t="shared" si="6"/>
        <v>0</v>
      </c>
      <c r="M97" s="66" t="str">
        <f t="shared" si="7"/>
        <v>UNPAID</v>
      </c>
    </row>
    <row r="98" spans="1:13" x14ac:dyDescent="0.3">
      <c r="A98" s="66">
        <f>'STUDENT DETAILS'!A95</f>
        <v>0</v>
      </c>
      <c r="B98" s="66">
        <f>'STUDENT DETAILS'!B95</f>
        <v>0</v>
      </c>
      <c r="C98" s="66">
        <f>'STUDENT DETAILS'!C95</f>
        <v>0</v>
      </c>
      <c r="D98" s="66">
        <f>'STUDENT DETAILS'!D95</f>
        <v>0</v>
      </c>
      <c r="E98" s="94">
        <f>'STUDENT DETAILS'!E95</f>
        <v>0</v>
      </c>
      <c r="F98" s="66" t="b">
        <f t="shared" si="4"/>
        <v>0</v>
      </c>
      <c r="G98" s="66"/>
      <c r="H98" s="66"/>
      <c r="I98" s="66"/>
      <c r="J98" s="66"/>
      <c r="K98" s="66">
        <f t="shared" si="5"/>
        <v>0</v>
      </c>
      <c r="L98" s="66">
        <f t="shared" si="6"/>
        <v>0</v>
      </c>
      <c r="M98" s="66" t="str">
        <f t="shared" si="7"/>
        <v>UNPAID</v>
      </c>
    </row>
    <row r="99" spans="1:13" x14ac:dyDescent="0.3">
      <c r="A99" s="66">
        <f>'STUDENT DETAILS'!A96</f>
        <v>0</v>
      </c>
      <c r="B99" s="66">
        <f>'STUDENT DETAILS'!B96</f>
        <v>0</v>
      </c>
      <c r="C99" s="66">
        <f>'STUDENT DETAILS'!C96</f>
        <v>0</v>
      </c>
      <c r="D99" s="66">
        <f>'STUDENT DETAILS'!D96</f>
        <v>0</v>
      </c>
      <c r="E99" s="94">
        <f>'STUDENT DETAILS'!E96</f>
        <v>0</v>
      </c>
      <c r="F99" s="66" t="b">
        <f t="shared" si="4"/>
        <v>0</v>
      </c>
      <c r="G99" s="66"/>
      <c r="H99" s="66"/>
      <c r="I99" s="66"/>
      <c r="J99" s="66"/>
      <c r="K99" s="66">
        <f t="shared" si="5"/>
        <v>0</v>
      </c>
      <c r="L99" s="66">
        <f t="shared" si="6"/>
        <v>0</v>
      </c>
      <c r="M99" s="66" t="str">
        <f t="shared" si="7"/>
        <v>UNPAID</v>
      </c>
    </row>
    <row r="100" spans="1:13" x14ac:dyDescent="0.3">
      <c r="A100" s="66">
        <f>'STUDENT DETAILS'!A97</f>
        <v>0</v>
      </c>
      <c r="B100" s="66">
        <f>'STUDENT DETAILS'!B97</f>
        <v>0</v>
      </c>
      <c r="C100" s="66">
        <f>'STUDENT DETAILS'!C97</f>
        <v>0</v>
      </c>
      <c r="D100" s="66">
        <f>'STUDENT DETAILS'!D97</f>
        <v>0</v>
      </c>
      <c r="E100" s="94">
        <f>'STUDENT DETAILS'!E97</f>
        <v>0</v>
      </c>
      <c r="F100" s="66" t="b">
        <f t="shared" si="4"/>
        <v>0</v>
      </c>
      <c r="G100" s="66"/>
      <c r="H100" s="66"/>
      <c r="I100" s="66"/>
      <c r="J100" s="66"/>
      <c r="K100" s="66">
        <f t="shared" si="5"/>
        <v>0</v>
      </c>
      <c r="L100" s="66">
        <f t="shared" si="6"/>
        <v>0</v>
      </c>
      <c r="M100" s="66" t="str">
        <f t="shared" si="7"/>
        <v>UNPAID</v>
      </c>
    </row>
    <row r="101" spans="1:13" x14ac:dyDescent="0.3">
      <c r="A101" s="66">
        <f>'STUDENT DETAILS'!A98</f>
        <v>0</v>
      </c>
      <c r="B101" s="66">
        <f>'STUDENT DETAILS'!B98</f>
        <v>0</v>
      </c>
      <c r="C101" s="66">
        <f>'STUDENT DETAILS'!C98</f>
        <v>0</v>
      </c>
      <c r="D101" s="66">
        <f>'STUDENT DETAILS'!D98</f>
        <v>0</v>
      </c>
      <c r="E101" s="94">
        <f>'STUDENT DETAILS'!E98</f>
        <v>0</v>
      </c>
      <c r="F101" s="66" t="b">
        <f t="shared" si="4"/>
        <v>0</v>
      </c>
      <c r="G101" s="66"/>
      <c r="H101" s="66"/>
      <c r="I101" s="66"/>
      <c r="J101" s="66"/>
      <c r="K101" s="66">
        <f t="shared" si="5"/>
        <v>0</v>
      </c>
      <c r="L101" s="66">
        <f t="shared" si="6"/>
        <v>0</v>
      </c>
      <c r="M101" s="66" t="str">
        <f t="shared" si="7"/>
        <v>UNPAID</v>
      </c>
    </row>
    <row r="102" spans="1:13" x14ac:dyDescent="0.3">
      <c r="A102" s="66">
        <f>'STUDENT DETAILS'!A99</f>
        <v>0</v>
      </c>
      <c r="B102" s="66">
        <f>'STUDENT DETAILS'!B99</f>
        <v>0</v>
      </c>
      <c r="C102" s="66">
        <f>'STUDENT DETAILS'!C99</f>
        <v>0</v>
      </c>
      <c r="D102" s="66">
        <f>'STUDENT DETAILS'!D99</f>
        <v>0</v>
      </c>
      <c r="E102" s="94">
        <f>'STUDENT DETAILS'!E99</f>
        <v>0</v>
      </c>
      <c r="F102" s="66" t="b">
        <f t="shared" si="4"/>
        <v>0</v>
      </c>
      <c r="G102" s="66"/>
      <c r="H102" s="66"/>
      <c r="I102" s="66"/>
      <c r="J102" s="66"/>
      <c r="K102" s="66">
        <f t="shared" si="5"/>
        <v>0</v>
      </c>
      <c r="L102" s="66">
        <f t="shared" si="6"/>
        <v>0</v>
      </c>
      <c r="M102" s="66" t="str">
        <f t="shared" si="7"/>
        <v>UNPAID</v>
      </c>
    </row>
    <row r="103" spans="1:13" x14ac:dyDescent="0.3">
      <c r="A103" s="66">
        <f>'STUDENT DETAILS'!A100</f>
        <v>0</v>
      </c>
      <c r="B103" s="66">
        <f>'STUDENT DETAILS'!B100</f>
        <v>0</v>
      </c>
      <c r="C103" s="66">
        <f>'STUDENT DETAILS'!C100</f>
        <v>0</v>
      </c>
      <c r="D103" s="66">
        <f>'STUDENT DETAILS'!D100</f>
        <v>0</v>
      </c>
      <c r="E103" s="94">
        <f>'STUDENT DETAILS'!E100</f>
        <v>0</v>
      </c>
      <c r="F103" s="66" t="b">
        <f t="shared" si="4"/>
        <v>0</v>
      </c>
      <c r="G103" s="66"/>
      <c r="H103" s="66"/>
      <c r="I103" s="66"/>
      <c r="J103" s="66"/>
      <c r="K103" s="66">
        <f t="shared" si="5"/>
        <v>0</v>
      </c>
      <c r="L103" s="66">
        <f t="shared" si="6"/>
        <v>0</v>
      </c>
      <c r="M103" s="66" t="str">
        <f t="shared" si="7"/>
        <v>UNPAID</v>
      </c>
    </row>
    <row r="104" spans="1:13" x14ac:dyDescent="0.3">
      <c r="A104" s="66">
        <f>'STUDENT DETAILS'!A101</f>
        <v>0</v>
      </c>
      <c r="B104" s="66">
        <f>'STUDENT DETAILS'!B101</f>
        <v>0</v>
      </c>
      <c r="C104" s="66">
        <f>'STUDENT DETAILS'!C101</f>
        <v>0</v>
      </c>
      <c r="D104" s="66">
        <f>'STUDENT DETAILS'!D101</f>
        <v>0</v>
      </c>
      <c r="E104" s="94">
        <f>'STUDENT DETAILS'!E101</f>
        <v>0</v>
      </c>
      <c r="F104" s="66" t="b">
        <f t="shared" si="4"/>
        <v>0</v>
      </c>
      <c r="G104" s="66"/>
      <c r="H104" s="66"/>
      <c r="I104" s="66"/>
      <c r="J104" s="66"/>
      <c r="K104" s="66">
        <f t="shared" si="5"/>
        <v>0</v>
      </c>
      <c r="L104" s="66">
        <f t="shared" si="6"/>
        <v>0</v>
      </c>
      <c r="M104" s="66" t="str">
        <f t="shared" si="7"/>
        <v>UNPAID</v>
      </c>
    </row>
    <row r="105" spans="1:13" x14ac:dyDescent="0.3">
      <c r="A105" s="66">
        <f>'STUDENT DETAILS'!A102</f>
        <v>0</v>
      </c>
      <c r="B105" s="66">
        <f>'STUDENT DETAILS'!B102</f>
        <v>0</v>
      </c>
      <c r="C105" s="66">
        <f>'STUDENT DETAILS'!C102</f>
        <v>0</v>
      </c>
      <c r="D105" s="66">
        <f>'STUDENT DETAILS'!D102</f>
        <v>0</v>
      </c>
      <c r="E105" s="94">
        <f>'STUDENT DETAILS'!E102</f>
        <v>0</v>
      </c>
      <c r="F105" s="66" t="b">
        <f t="shared" si="4"/>
        <v>0</v>
      </c>
      <c r="G105" s="66"/>
      <c r="H105" s="66"/>
      <c r="I105" s="66"/>
      <c r="J105" s="66"/>
      <c r="K105" s="66">
        <f t="shared" si="5"/>
        <v>0</v>
      </c>
      <c r="L105" s="66">
        <f t="shared" si="6"/>
        <v>0</v>
      </c>
      <c r="M105" s="66" t="str">
        <f t="shared" si="7"/>
        <v>UNPAID</v>
      </c>
    </row>
    <row r="106" spans="1:13" x14ac:dyDescent="0.3">
      <c r="A106" s="66">
        <f>'STUDENT DETAILS'!A103</f>
        <v>0</v>
      </c>
      <c r="B106" s="66">
        <f>'STUDENT DETAILS'!B103</f>
        <v>0</v>
      </c>
      <c r="C106" s="66">
        <f>'STUDENT DETAILS'!C103</f>
        <v>0</v>
      </c>
      <c r="D106" s="66">
        <f>'STUDENT DETAILS'!D103</f>
        <v>0</v>
      </c>
      <c r="E106" s="94">
        <f>'STUDENT DETAILS'!E103</f>
        <v>0</v>
      </c>
      <c r="F106" s="66" t="b">
        <f t="shared" si="4"/>
        <v>0</v>
      </c>
      <c r="G106" s="66"/>
      <c r="H106" s="66"/>
      <c r="I106" s="66"/>
      <c r="J106" s="66"/>
      <c r="K106" s="66">
        <f t="shared" si="5"/>
        <v>0</v>
      </c>
      <c r="L106" s="66">
        <f t="shared" si="6"/>
        <v>0</v>
      </c>
      <c r="M106" s="66" t="str">
        <f t="shared" si="7"/>
        <v>UNPAID</v>
      </c>
    </row>
    <row r="107" spans="1:13" x14ac:dyDescent="0.3">
      <c r="A107" s="66">
        <f>'STUDENT DETAILS'!A104</f>
        <v>0</v>
      </c>
      <c r="B107" s="66">
        <f>'STUDENT DETAILS'!B104</f>
        <v>0</v>
      </c>
      <c r="C107" s="66">
        <f>'STUDENT DETAILS'!C104</f>
        <v>0</v>
      </c>
      <c r="D107" s="66">
        <f>'STUDENT DETAILS'!D104</f>
        <v>0</v>
      </c>
      <c r="E107" s="94">
        <f>'STUDENT DETAILS'!E104</f>
        <v>0</v>
      </c>
      <c r="F107" s="66" t="b">
        <f t="shared" si="4"/>
        <v>0</v>
      </c>
      <c r="G107" s="66"/>
      <c r="H107" s="66"/>
      <c r="I107" s="66"/>
      <c r="J107" s="66"/>
      <c r="K107" s="66">
        <f t="shared" si="5"/>
        <v>0</v>
      </c>
      <c r="L107" s="66">
        <f t="shared" si="6"/>
        <v>0</v>
      </c>
      <c r="M107" s="66" t="str">
        <f t="shared" si="7"/>
        <v>UNPAID</v>
      </c>
    </row>
    <row r="108" spans="1:13" x14ac:dyDescent="0.3">
      <c r="A108" s="66">
        <f>'STUDENT DETAILS'!A105</f>
        <v>0</v>
      </c>
      <c r="B108" s="66">
        <f>'STUDENT DETAILS'!B105</f>
        <v>0</v>
      </c>
      <c r="C108" s="66">
        <f>'STUDENT DETAILS'!C105</f>
        <v>0</v>
      </c>
      <c r="D108" s="66">
        <f>'STUDENT DETAILS'!D105</f>
        <v>0</v>
      </c>
      <c r="E108" s="94">
        <f>'STUDENT DETAILS'!E105</f>
        <v>0</v>
      </c>
      <c r="F108" s="66" t="b">
        <f t="shared" si="4"/>
        <v>0</v>
      </c>
      <c r="G108" s="66"/>
      <c r="H108" s="66"/>
      <c r="I108" s="66"/>
      <c r="J108" s="66"/>
      <c r="K108" s="66">
        <f t="shared" si="5"/>
        <v>0</v>
      </c>
      <c r="L108" s="66">
        <f t="shared" si="6"/>
        <v>0</v>
      </c>
      <c r="M108" s="66" t="str">
        <f t="shared" si="7"/>
        <v>UNPAID</v>
      </c>
    </row>
    <row r="109" spans="1:13" x14ac:dyDescent="0.3">
      <c r="A109" s="66">
        <f>'STUDENT DETAILS'!A106</f>
        <v>0</v>
      </c>
      <c r="B109" s="66">
        <f>'STUDENT DETAILS'!B106</f>
        <v>0</v>
      </c>
      <c r="C109" s="66">
        <f>'STUDENT DETAILS'!C106</f>
        <v>0</v>
      </c>
      <c r="D109" s="66">
        <f>'STUDENT DETAILS'!D106</f>
        <v>0</v>
      </c>
      <c r="E109" s="94">
        <f>'STUDENT DETAILS'!E106</f>
        <v>0</v>
      </c>
      <c r="F109" s="66" t="b">
        <f t="shared" si="4"/>
        <v>0</v>
      </c>
      <c r="G109" s="66"/>
      <c r="H109" s="66"/>
      <c r="I109" s="66"/>
      <c r="J109" s="66"/>
      <c r="K109" s="66">
        <f t="shared" si="5"/>
        <v>0</v>
      </c>
      <c r="L109" s="66">
        <f t="shared" si="6"/>
        <v>0</v>
      </c>
      <c r="M109" s="66" t="str">
        <f t="shared" si="7"/>
        <v>UNPAID</v>
      </c>
    </row>
    <row r="110" spans="1:13" x14ac:dyDescent="0.3">
      <c r="A110" s="66">
        <f>'STUDENT DETAILS'!A107</f>
        <v>0</v>
      </c>
      <c r="B110" s="66">
        <f>'STUDENT DETAILS'!B107</f>
        <v>0</v>
      </c>
      <c r="C110" s="66">
        <f>'STUDENT DETAILS'!C107</f>
        <v>0</v>
      </c>
      <c r="D110" s="66">
        <f>'STUDENT DETAILS'!D107</f>
        <v>0</v>
      </c>
      <c r="E110" s="94">
        <f>'STUDENT DETAILS'!E107</f>
        <v>0</v>
      </c>
      <c r="F110" s="66" t="b">
        <f t="shared" si="4"/>
        <v>0</v>
      </c>
      <c r="G110" s="66"/>
      <c r="H110" s="66"/>
      <c r="I110" s="66"/>
      <c r="J110" s="66"/>
      <c r="K110" s="66">
        <f t="shared" si="5"/>
        <v>0</v>
      </c>
      <c r="L110" s="66">
        <f t="shared" si="6"/>
        <v>0</v>
      </c>
      <c r="M110" s="66" t="str">
        <f t="shared" si="7"/>
        <v>UNPAID</v>
      </c>
    </row>
    <row r="111" spans="1:13" x14ac:dyDescent="0.3">
      <c r="A111" s="66">
        <f>'STUDENT DETAILS'!A108</f>
        <v>0</v>
      </c>
      <c r="B111" s="66">
        <f>'STUDENT DETAILS'!B108</f>
        <v>0</v>
      </c>
      <c r="C111" s="66">
        <f>'STUDENT DETAILS'!C108</f>
        <v>0</v>
      </c>
      <c r="D111" s="66">
        <f>'STUDENT DETAILS'!D108</f>
        <v>0</v>
      </c>
      <c r="E111" s="94">
        <f>'STUDENT DETAILS'!E108</f>
        <v>0</v>
      </c>
      <c r="F111" s="66" t="b">
        <f t="shared" si="4"/>
        <v>0</v>
      </c>
      <c r="G111" s="66"/>
      <c r="H111" s="66"/>
      <c r="I111" s="66"/>
      <c r="J111" s="66"/>
      <c r="K111" s="66">
        <f t="shared" si="5"/>
        <v>0</v>
      </c>
      <c r="L111" s="66">
        <f t="shared" si="6"/>
        <v>0</v>
      </c>
      <c r="M111" s="66" t="str">
        <f t="shared" si="7"/>
        <v>UNPAID</v>
      </c>
    </row>
    <row r="112" spans="1:13" x14ac:dyDescent="0.3">
      <c r="A112" s="66">
        <f>'STUDENT DETAILS'!A109</f>
        <v>0</v>
      </c>
      <c r="B112" s="66">
        <f>'STUDENT DETAILS'!B109</f>
        <v>0</v>
      </c>
      <c r="C112" s="66">
        <f>'STUDENT DETAILS'!C109</f>
        <v>0</v>
      </c>
      <c r="D112" s="66">
        <f>'STUDENT DETAILS'!D109</f>
        <v>0</v>
      </c>
      <c r="E112" s="94">
        <f>'STUDENT DETAILS'!E109</f>
        <v>0</v>
      </c>
      <c r="F112" s="66" t="b">
        <f t="shared" si="4"/>
        <v>0</v>
      </c>
      <c r="G112" s="66"/>
      <c r="H112" s="66"/>
      <c r="I112" s="66"/>
      <c r="J112" s="66"/>
      <c r="K112" s="66">
        <f t="shared" si="5"/>
        <v>0</v>
      </c>
      <c r="L112" s="66">
        <f t="shared" si="6"/>
        <v>0</v>
      </c>
      <c r="M112" s="66" t="str">
        <f t="shared" si="7"/>
        <v>UNPAID</v>
      </c>
    </row>
    <row r="113" spans="1:13" x14ac:dyDescent="0.3">
      <c r="A113" s="66">
        <f>'STUDENT DETAILS'!A110</f>
        <v>0</v>
      </c>
      <c r="B113" s="66">
        <f>'STUDENT DETAILS'!B110</f>
        <v>0</v>
      </c>
      <c r="C113" s="66">
        <f>'STUDENT DETAILS'!C110</f>
        <v>0</v>
      </c>
      <c r="D113" s="66">
        <f>'STUDENT DETAILS'!D110</f>
        <v>0</v>
      </c>
      <c r="E113" s="94">
        <f>'STUDENT DETAILS'!E110</f>
        <v>0</v>
      </c>
      <c r="F113" s="66" t="b">
        <f t="shared" si="4"/>
        <v>0</v>
      </c>
      <c r="G113" s="66"/>
      <c r="H113" s="66"/>
      <c r="I113" s="66"/>
      <c r="J113" s="66"/>
      <c r="K113" s="66">
        <f t="shared" si="5"/>
        <v>0</v>
      </c>
      <c r="L113" s="66">
        <f t="shared" si="6"/>
        <v>0</v>
      </c>
      <c r="M113" s="66" t="str">
        <f t="shared" si="7"/>
        <v>UNPAID</v>
      </c>
    </row>
    <row r="114" spans="1:13" x14ac:dyDescent="0.3">
      <c r="A114" s="66">
        <f>'STUDENT DETAILS'!A111</f>
        <v>0</v>
      </c>
      <c r="B114" s="66">
        <f>'STUDENT DETAILS'!B111</f>
        <v>0</v>
      </c>
      <c r="C114" s="66">
        <f>'STUDENT DETAILS'!C111</f>
        <v>0</v>
      </c>
      <c r="D114" s="66">
        <f>'STUDENT DETAILS'!D111</f>
        <v>0</v>
      </c>
      <c r="E114" s="94">
        <f>'STUDENT DETAILS'!E111</f>
        <v>0</v>
      </c>
      <c r="F114" s="66" t="b">
        <f t="shared" si="4"/>
        <v>0</v>
      </c>
      <c r="G114" s="66"/>
      <c r="H114" s="66"/>
      <c r="I114" s="66"/>
      <c r="J114" s="66"/>
      <c r="K114" s="66">
        <f t="shared" si="5"/>
        <v>0</v>
      </c>
      <c r="L114" s="66">
        <f t="shared" si="6"/>
        <v>0</v>
      </c>
      <c r="M114" s="66" t="str">
        <f t="shared" si="7"/>
        <v>UNPAID</v>
      </c>
    </row>
    <row r="115" spans="1:13" x14ac:dyDescent="0.3">
      <c r="A115" s="66">
        <f>'STUDENT DETAILS'!A112</f>
        <v>0</v>
      </c>
      <c r="B115" s="66">
        <f>'STUDENT DETAILS'!B112</f>
        <v>0</v>
      </c>
      <c r="C115" s="66">
        <f>'STUDENT DETAILS'!C112</f>
        <v>0</v>
      </c>
      <c r="D115" s="66">
        <f>'STUDENT DETAILS'!D112</f>
        <v>0</v>
      </c>
      <c r="E115" s="94">
        <f>'STUDENT DETAILS'!E112</f>
        <v>0</v>
      </c>
      <c r="F115" s="66" t="b">
        <f t="shared" si="4"/>
        <v>0</v>
      </c>
      <c r="G115" s="66"/>
      <c r="H115" s="66"/>
      <c r="I115" s="66"/>
      <c r="J115" s="66"/>
      <c r="K115" s="66">
        <f t="shared" si="5"/>
        <v>0</v>
      </c>
      <c r="L115" s="66">
        <f t="shared" si="6"/>
        <v>0</v>
      </c>
      <c r="M115" s="66" t="str">
        <f t="shared" si="7"/>
        <v>UNPAID</v>
      </c>
    </row>
    <row r="116" spans="1:13" x14ac:dyDescent="0.3">
      <c r="A116" s="66">
        <f>'STUDENT DETAILS'!A113</f>
        <v>0</v>
      </c>
      <c r="B116" s="66">
        <f>'STUDENT DETAILS'!B113</f>
        <v>0</v>
      </c>
      <c r="C116" s="66">
        <f>'STUDENT DETAILS'!C113</f>
        <v>0</v>
      </c>
      <c r="D116" s="66">
        <f>'STUDENT DETAILS'!D113</f>
        <v>0</v>
      </c>
      <c r="E116" s="94">
        <f>'STUDENT DETAILS'!E113</f>
        <v>0</v>
      </c>
      <c r="F116" s="66" t="b">
        <f t="shared" si="4"/>
        <v>0</v>
      </c>
      <c r="G116" s="66"/>
      <c r="H116" s="66"/>
      <c r="I116" s="66"/>
      <c r="J116" s="66"/>
      <c r="K116" s="66">
        <f t="shared" si="5"/>
        <v>0</v>
      </c>
      <c r="L116" s="66">
        <f t="shared" si="6"/>
        <v>0</v>
      </c>
      <c r="M116" s="66" t="str">
        <f t="shared" si="7"/>
        <v>UNPAID</v>
      </c>
    </row>
    <row r="117" spans="1:13" x14ac:dyDescent="0.3">
      <c r="A117" s="66">
        <f>'STUDENT DETAILS'!A114</f>
        <v>0</v>
      </c>
      <c r="B117" s="66">
        <f>'STUDENT DETAILS'!B114</f>
        <v>0</v>
      </c>
      <c r="C117" s="66">
        <f>'STUDENT DETAILS'!C114</f>
        <v>0</v>
      </c>
      <c r="D117" s="66">
        <f>'STUDENT DETAILS'!D114</f>
        <v>0</v>
      </c>
      <c r="E117" s="94">
        <f>'STUDENT DETAILS'!E114</f>
        <v>0</v>
      </c>
      <c r="F117" s="66" t="b">
        <f t="shared" si="4"/>
        <v>0</v>
      </c>
      <c r="G117" s="66"/>
      <c r="H117" s="66"/>
      <c r="I117" s="66"/>
      <c r="J117" s="66"/>
      <c r="K117" s="66">
        <f t="shared" si="5"/>
        <v>0</v>
      </c>
      <c r="L117" s="66">
        <f t="shared" si="6"/>
        <v>0</v>
      </c>
      <c r="M117" s="66" t="str">
        <f t="shared" si="7"/>
        <v>UNPAID</v>
      </c>
    </row>
    <row r="118" spans="1:13" x14ac:dyDescent="0.3">
      <c r="A118" s="66">
        <f>'STUDENT DETAILS'!A115</f>
        <v>0</v>
      </c>
      <c r="B118" s="66">
        <f>'STUDENT DETAILS'!B115</f>
        <v>0</v>
      </c>
      <c r="C118" s="66">
        <f>'STUDENT DETAILS'!C115</f>
        <v>0</v>
      </c>
      <c r="D118" s="66">
        <f>'STUDENT DETAILS'!D115</f>
        <v>0</v>
      </c>
      <c r="E118" s="94">
        <f>'STUDENT DETAILS'!E115</f>
        <v>0</v>
      </c>
      <c r="F118" s="66" t="b">
        <f t="shared" si="4"/>
        <v>0</v>
      </c>
      <c r="G118" s="66"/>
      <c r="H118" s="66"/>
      <c r="I118" s="66"/>
      <c r="J118" s="66"/>
      <c r="K118" s="66">
        <f t="shared" si="5"/>
        <v>0</v>
      </c>
      <c r="L118" s="66">
        <f t="shared" si="6"/>
        <v>0</v>
      </c>
      <c r="M118" s="66" t="str">
        <f t="shared" si="7"/>
        <v>UNPAID</v>
      </c>
    </row>
    <row r="119" spans="1:13" x14ac:dyDescent="0.3">
      <c r="A119" s="66">
        <f>'STUDENT DETAILS'!A116</f>
        <v>0</v>
      </c>
      <c r="B119" s="66">
        <f>'STUDENT DETAILS'!B116</f>
        <v>0</v>
      </c>
      <c r="C119" s="66">
        <f>'STUDENT DETAILS'!C116</f>
        <v>0</v>
      </c>
      <c r="D119" s="66">
        <f>'STUDENT DETAILS'!D116</f>
        <v>0</v>
      </c>
      <c r="E119" s="94">
        <f>'STUDENT DETAILS'!E116</f>
        <v>0</v>
      </c>
      <c r="F119" s="66" t="b">
        <f t="shared" si="4"/>
        <v>0</v>
      </c>
      <c r="G119" s="66"/>
      <c r="H119" s="66"/>
      <c r="I119" s="66"/>
      <c r="J119" s="66"/>
      <c r="K119" s="66">
        <f t="shared" si="5"/>
        <v>0</v>
      </c>
      <c r="L119" s="66">
        <f t="shared" si="6"/>
        <v>0</v>
      </c>
      <c r="M119" s="66" t="str">
        <f t="shared" si="7"/>
        <v>UNPAID</v>
      </c>
    </row>
    <row r="120" spans="1:13" x14ac:dyDescent="0.3">
      <c r="A120" s="66">
        <f>'STUDENT DETAILS'!A117</f>
        <v>0</v>
      </c>
      <c r="B120" s="66">
        <f>'STUDENT DETAILS'!B117</f>
        <v>0</v>
      </c>
      <c r="C120" s="66">
        <f>'STUDENT DETAILS'!C117</f>
        <v>0</v>
      </c>
      <c r="D120" s="66">
        <f>'STUDENT DETAILS'!D117</f>
        <v>0</v>
      </c>
      <c r="E120" s="94">
        <f>'STUDENT DETAILS'!E117</f>
        <v>0</v>
      </c>
      <c r="F120" s="66" t="b">
        <f t="shared" si="4"/>
        <v>0</v>
      </c>
      <c r="G120" s="66"/>
      <c r="H120" s="66"/>
      <c r="I120" s="66"/>
      <c r="J120" s="66"/>
      <c r="K120" s="66">
        <f t="shared" si="5"/>
        <v>0</v>
      </c>
      <c r="L120" s="66">
        <f t="shared" si="6"/>
        <v>0</v>
      </c>
      <c r="M120" s="66" t="str">
        <f t="shared" si="7"/>
        <v>UNPAID</v>
      </c>
    </row>
    <row r="121" spans="1:13" x14ac:dyDescent="0.3">
      <c r="A121" s="66">
        <f>'STUDENT DETAILS'!A118</f>
        <v>0</v>
      </c>
      <c r="B121" s="66">
        <f>'STUDENT DETAILS'!B118</f>
        <v>0</v>
      </c>
      <c r="C121" s="66">
        <f>'STUDENT DETAILS'!C118</f>
        <v>0</v>
      </c>
      <c r="D121" s="66">
        <f>'STUDENT DETAILS'!D118</f>
        <v>0</v>
      </c>
      <c r="E121" s="94">
        <f>'STUDENT DETAILS'!E118</f>
        <v>0</v>
      </c>
      <c r="F121" s="66" t="b">
        <f t="shared" si="4"/>
        <v>0</v>
      </c>
      <c r="G121" s="66"/>
      <c r="H121" s="66"/>
      <c r="I121" s="66"/>
      <c r="J121" s="66"/>
      <c r="K121" s="66">
        <f t="shared" si="5"/>
        <v>0</v>
      </c>
      <c r="L121" s="66">
        <f t="shared" si="6"/>
        <v>0</v>
      </c>
      <c r="M121" s="66" t="str">
        <f t="shared" si="7"/>
        <v>UNPAID</v>
      </c>
    </row>
    <row r="122" spans="1:13" x14ac:dyDescent="0.3">
      <c r="A122" s="66">
        <f>'STUDENT DETAILS'!A119</f>
        <v>0</v>
      </c>
      <c r="B122" s="66">
        <f>'STUDENT DETAILS'!B119</f>
        <v>0</v>
      </c>
      <c r="C122" s="66">
        <f>'STUDENT DETAILS'!C119</f>
        <v>0</v>
      </c>
      <c r="D122" s="66">
        <f>'STUDENT DETAILS'!D119</f>
        <v>0</v>
      </c>
      <c r="E122" s="94">
        <f>'STUDENT DETAILS'!E119</f>
        <v>0</v>
      </c>
      <c r="F122" s="66" t="b">
        <f t="shared" si="4"/>
        <v>0</v>
      </c>
      <c r="G122" s="66"/>
      <c r="H122" s="66"/>
      <c r="I122" s="66"/>
      <c r="J122" s="66"/>
      <c r="K122" s="66">
        <f t="shared" si="5"/>
        <v>0</v>
      </c>
      <c r="L122" s="66">
        <f t="shared" si="6"/>
        <v>0</v>
      </c>
      <c r="M122" s="66" t="str">
        <f t="shared" si="7"/>
        <v>UNPAID</v>
      </c>
    </row>
    <row r="123" spans="1:13" x14ac:dyDescent="0.3">
      <c r="A123" s="66">
        <f>'STUDENT DETAILS'!A120</f>
        <v>0</v>
      </c>
      <c r="B123" s="66">
        <f>'STUDENT DETAILS'!B120</f>
        <v>0</v>
      </c>
      <c r="C123" s="66">
        <f>'STUDENT DETAILS'!C120</f>
        <v>0</v>
      </c>
      <c r="D123" s="66">
        <f>'STUDENT DETAILS'!D120</f>
        <v>0</v>
      </c>
      <c r="E123" s="94">
        <f>'STUDENT DETAILS'!E120</f>
        <v>0</v>
      </c>
      <c r="F123" s="66" t="b">
        <f t="shared" si="4"/>
        <v>0</v>
      </c>
      <c r="G123" s="66"/>
      <c r="H123" s="66"/>
      <c r="I123" s="66"/>
      <c r="J123" s="66"/>
      <c r="K123" s="66">
        <f t="shared" si="5"/>
        <v>0</v>
      </c>
      <c r="L123" s="66">
        <f t="shared" si="6"/>
        <v>0</v>
      </c>
      <c r="M123" s="66" t="str">
        <f t="shared" si="7"/>
        <v>UNPAID</v>
      </c>
    </row>
    <row r="124" spans="1:13" x14ac:dyDescent="0.3">
      <c r="A124" s="66">
        <f>'STUDENT DETAILS'!A121</f>
        <v>0</v>
      </c>
      <c r="B124" s="66">
        <f>'STUDENT DETAILS'!B121</f>
        <v>0</v>
      </c>
      <c r="C124" s="66">
        <f>'STUDENT DETAILS'!C121</f>
        <v>0</v>
      </c>
      <c r="D124" s="66">
        <f>'STUDENT DETAILS'!D121</f>
        <v>0</v>
      </c>
      <c r="E124" s="94">
        <f>'STUDENT DETAILS'!E121</f>
        <v>0</v>
      </c>
      <c r="F124" s="66" t="b">
        <f t="shared" si="4"/>
        <v>0</v>
      </c>
      <c r="G124" s="66"/>
      <c r="H124" s="66"/>
      <c r="I124" s="66"/>
      <c r="J124" s="66"/>
      <c r="K124" s="66">
        <f t="shared" si="5"/>
        <v>0</v>
      </c>
      <c r="L124" s="66">
        <f t="shared" si="6"/>
        <v>0</v>
      </c>
      <c r="M124" s="66" t="str">
        <f t="shared" si="7"/>
        <v>UNPAID</v>
      </c>
    </row>
    <row r="125" spans="1:13" x14ac:dyDescent="0.3">
      <c r="A125" s="66">
        <f>'STUDENT DETAILS'!A122</f>
        <v>0</v>
      </c>
      <c r="B125" s="66">
        <f>'STUDENT DETAILS'!B122</f>
        <v>0</v>
      </c>
      <c r="C125" s="66">
        <f>'STUDENT DETAILS'!C122</f>
        <v>0</v>
      </c>
      <c r="D125" s="66">
        <f>'STUDENT DETAILS'!D122</f>
        <v>0</v>
      </c>
      <c r="E125" s="94">
        <f>'STUDENT DETAILS'!E122</f>
        <v>0</v>
      </c>
      <c r="F125" s="66" t="b">
        <f t="shared" si="4"/>
        <v>0</v>
      </c>
      <c r="G125" s="66"/>
      <c r="H125" s="66"/>
      <c r="I125" s="66"/>
      <c r="J125" s="66"/>
      <c r="K125" s="66">
        <f t="shared" si="5"/>
        <v>0</v>
      </c>
      <c r="L125" s="66">
        <f t="shared" si="6"/>
        <v>0</v>
      </c>
      <c r="M125" s="66" t="str">
        <f t="shared" si="7"/>
        <v>UNPAID</v>
      </c>
    </row>
    <row r="126" spans="1:13" x14ac:dyDescent="0.3">
      <c r="A126" s="66">
        <f>'STUDENT DETAILS'!A123</f>
        <v>0</v>
      </c>
      <c r="B126" s="66">
        <f>'STUDENT DETAILS'!B123</f>
        <v>0</v>
      </c>
      <c r="C126" s="66">
        <f>'STUDENT DETAILS'!C123</f>
        <v>0</v>
      </c>
      <c r="D126" s="66">
        <f>'STUDENT DETAILS'!D123</f>
        <v>0</v>
      </c>
      <c r="E126" s="94">
        <f>'STUDENT DETAILS'!E123</f>
        <v>0</v>
      </c>
      <c r="F126" s="66" t="b">
        <f t="shared" si="4"/>
        <v>0</v>
      </c>
      <c r="G126" s="66"/>
      <c r="H126" s="66"/>
      <c r="I126" s="66"/>
      <c r="J126" s="66"/>
      <c r="K126" s="66">
        <f t="shared" si="5"/>
        <v>0</v>
      </c>
      <c r="L126" s="66">
        <f t="shared" si="6"/>
        <v>0</v>
      </c>
      <c r="M126" s="66" t="str">
        <f t="shared" si="7"/>
        <v>UNPAID</v>
      </c>
    </row>
    <row r="127" spans="1:13" x14ac:dyDescent="0.3">
      <c r="A127" s="66">
        <f>'STUDENT DETAILS'!A124</f>
        <v>0</v>
      </c>
      <c r="B127" s="66">
        <f>'STUDENT DETAILS'!B124</f>
        <v>0</v>
      </c>
      <c r="C127" s="66">
        <f>'STUDENT DETAILS'!C124</f>
        <v>0</v>
      </c>
      <c r="D127" s="66">
        <f>'STUDENT DETAILS'!D124</f>
        <v>0</v>
      </c>
      <c r="E127" s="94">
        <f>'STUDENT DETAILS'!E124</f>
        <v>0</v>
      </c>
      <c r="F127" s="66" t="b">
        <f t="shared" si="4"/>
        <v>0</v>
      </c>
      <c r="G127" s="66"/>
      <c r="H127" s="66"/>
      <c r="I127" s="66"/>
      <c r="J127" s="66"/>
      <c r="K127" s="66">
        <f t="shared" si="5"/>
        <v>0</v>
      </c>
      <c r="L127" s="66">
        <f t="shared" si="6"/>
        <v>0</v>
      </c>
      <c r="M127" s="66" t="str">
        <f t="shared" si="7"/>
        <v>UNPAID</v>
      </c>
    </row>
    <row r="128" spans="1:13" x14ac:dyDescent="0.3">
      <c r="A128" s="66">
        <f>'STUDENT DETAILS'!A125</f>
        <v>0</v>
      </c>
      <c r="B128" s="66">
        <f>'STUDENT DETAILS'!B125</f>
        <v>0</v>
      </c>
      <c r="C128" s="66">
        <f>'STUDENT DETAILS'!C125</f>
        <v>0</v>
      </c>
      <c r="D128" s="66">
        <f>'STUDENT DETAILS'!D125</f>
        <v>0</v>
      </c>
      <c r="E128" s="94">
        <f>'STUDENT DETAILS'!E125</f>
        <v>0</v>
      </c>
      <c r="F128" s="66" t="b">
        <f t="shared" si="4"/>
        <v>0</v>
      </c>
      <c r="G128" s="66"/>
      <c r="H128" s="66"/>
      <c r="I128" s="66"/>
      <c r="J128" s="66"/>
      <c r="K128" s="66">
        <f t="shared" si="5"/>
        <v>0</v>
      </c>
      <c r="L128" s="66">
        <f t="shared" si="6"/>
        <v>0</v>
      </c>
      <c r="M128" s="66" t="str">
        <f t="shared" si="7"/>
        <v>UNPAID</v>
      </c>
    </row>
    <row r="129" spans="1:13" x14ac:dyDescent="0.3">
      <c r="A129" s="66">
        <f>'STUDENT DETAILS'!A126</f>
        <v>0</v>
      </c>
      <c r="B129" s="66">
        <f>'STUDENT DETAILS'!B126</f>
        <v>0</v>
      </c>
      <c r="C129" s="66">
        <f>'STUDENT DETAILS'!C126</f>
        <v>0</v>
      </c>
      <c r="D129" s="66">
        <f>'STUDENT DETAILS'!D126</f>
        <v>0</v>
      </c>
      <c r="E129" s="94">
        <f>'STUDENT DETAILS'!E126</f>
        <v>0</v>
      </c>
      <c r="F129" s="66" t="b">
        <f t="shared" si="4"/>
        <v>0</v>
      </c>
      <c r="G129" s="66"/>
      <c r="H129" s="66"/>
      <c r="I129" s="66"/>
      <c r="J129" s="66"/>
      <c r="K129" s="66">
        <f t="shared" si="5"/>
        <v>0</v>
      </c>
      <c r="L129" s="66">
        <f t="shared" si="6"/>
        <v>0</v>
      </c>
      <c r="M129" s="66" t="str">
        <f t="shared" si="7"/>
        <v>UNPAID</v>
      </c>
    </row>
    <row r="130" spans="1:13" x14ac:dyDescent="0.3">
      <c r="A130" s="66">
        <f>'STUDENT DETAILS'!A127</f>
        <v>0</v>
      </c>
      <c r="B130" s="66">
        <f>'STUDENT DETAILS'!B127</f>
        <v>0</v>
      </c>
      <c r="C130" s="66">
        <f>'STUDENT DETAILS'!C127</f>
        <v>0</v>
      </c>
      <c r="D130" s="66">
        <f>'STUDENT DETAILS'!D127</f>
        <v>0</v>
      </c>
      <c r="E130" s="94">
        <f>'STUDENT DETAILS'!E127</f>
        <v>0</v>
      </c>
      <c r="F130" s="66" t="b">
        <f t="shared" si="4"/>
        <v>0</v>
      </c>
      <c r="G130" s="66"/>
      <c r="H130" s="66"/>
      <c r="I130" s="66"/>
      <c r="J130" s="66"/>
      <c r="K130" s="66">
        <f t="shared" si="5"/>
        <v>0</v>
      </c>
      <c r="L130" s="66">
        <f t="shared" si="6"/>
        <v>0</v>
      </c>
      <c r="M130" s="66" t="str">
        <f t="shared" si="7"/>
        <v>UNPAID</v>
      </c>
    </row>
    <row r="131" spans="1:13" x14ac:dyDescent="0.3">
      <c r="A131" s="66">
        <f>'STUDENT DETAILS'!A128</f>
        <v>0</v>
      </c>
      <c r="B131" s="66">
        <f>'STUDENT DETAILS'!B128</f>
        <v>0</v>
      </c>
      <c r="C131" s="66">
        <f>'STUDENT DETAILS'!C128</f>
        <v>0</v>
      </c>
      <c r="D131" s="66">
        <f>'STUDENT DETAILS'!D128</f>
        <v>0</v>
      </c>
      <c r="E131" s="94">
        <f>'STUDENT DETAILS'!E128</f>
        <v>0</v>
      </c>
      <c r="F131" s="66" t="b">
        <f t="shared" si="4"/>
        <v>0</v>
      </c>
      <c r="G131" s="66"/>
      <c r="H131" s="66"/>
      <c r="I131" s="66"/>
      <c r="J131" s="66"/>
      <c r="K131" s="66">
        <f t="shared" si="5"/>
        <v>0</v>
      </c>
      <c r="L131" s="66">
        <f t="shared" si="6"/>
        <v>0</v>
      </c>
      <c r="M131" s="66" t="str">
        <f t="shared" si="7"/>
        <v>UNPAID</v>
      </c>
    </row>
    <row r="132" spans="1:13" x14ac:dyDescent="0.3">
      <c r="A132" s="66">
        <f>'STUDENT DETAILS'!A129</f>
        <v>0</v>
      </c>
      <c r="B132" s="66">
        <f>'STUDENT DETAILS'!B129</f>
        <v>0</v>
      </c>
      <c r="C132" s="66">
        <f>'STUDENT DETAILS'!C129</f>
        <v>0</v>
      </c>
      <c r="D132" s="66">
        <f>'STUDENT DETAILS'!D129</f>
        <v>0</v>
      </c>
      <c r="E132" s="94">
        <f>'STUDENT DETAILS'!E129</f>
        <v>0</v>
      </c>
      <c r="F132" s="66" t="b">
        <f t="shared" si="4"/>
        <v>0</v>
      </c>
      <c r="G132" s="66"/>
      <c r="H132" s="66"/>
      <c r="I132" s="66"/>
      <c r="J132" s="66"/>
      <c r="K132" s="66">
        <f t="shared" si="5"/>
        <v>0</v>
      </c>
      <c r="L132" s="66">
        <f t="shared" si="6"/>
        <v>0</v>
      </c>
      <c r="M132" s="66" t="str">
        <f t="shared" si="7"/>
        <v>UNPAID</v>
      </c>
    </row>
    <row r="133" spans="1:13" x14ac:dyDescent="0.3">
      <c r="A133" s="66">
        <f>'STUDENT DETAILS'!A130</f>
        <v>0</v>
      </c>
      <c r="B133" s="66">
        <f>'STUDENT DETAILS'!B130</f>
        <v>0</v>
      </c>
      <c r="C133" s="66">
        <f>'STUDENT DETAILS'!C130</f>
        <v>0</v>
      </c>
      <c r="D133" s="66">
        <f>'STUDENT DETAILS'!D130</f>
        <v>0</v>
      </c>
      <c r="E133" s="94">
        <f>'STUDENT DETAILS'!E130</f>
        <v>0</v>
      </c>
      <c r="F133" s="66" t="b">
        <f t="shared" si="4"/>
        <v>0</v>
      </c>
      <c r="G133" s="66"/>
      <c r="H133" s="66"/>
      <c r="I133" s="66"/>
      <c r="J133" s="66"/>
      <c r="K133" s="66">
        <f t="shared" si="5"/>
        <v>0</v>
      </c>
      <c r="L133" s="66">
        <f t="shared" si="6"/>
        <v>0</v>
      </c>
      <c r="M133" s="66" t="str">
        <f t="shared" si="7"/>
        <v>UNPAID</v>
      </c>
    </row>
    <row r="134" spans="1:13" x14ac:dyDescent="0.3">
      <c r="A134" s="66">
        <f>'STUDENT DETAILS'!A131</f>
        <v>0</v>
      </c>
      <c r="B134" s="66">
        <f>'STUDENT DETAILS'!B131</f>
        <v>0</v>
      </c>
      <c r="C134" s="66">
        <f>'STUDENT DETAILS'!C131</f>
        <v>0</v>
      </c>
      <c r="D134" s="66">
        <f>'STUDENT DETAILS'!D131</f>
        <v>0</v>
      </c>
      <c r="E134" s="94">
        <f>'STUDENT DETAILS'!E131</f>
        <v>0</v>
      </c>
      <c r="F134" s="66" t="b">
        <f t="shared" si="4"/>
        <v>0</v>
      </c>
      <c r="G134" s="66"/>
      <c r="H134" s="66"/>
      <c r="I134" s="66"/>
      <c r="J134" s="66"/>
      <c r="K134" s="66">
        <f t="shared" si="5"/>
        <v>0</v>
      </c>
      <c r="L134" s="66">
        <f t="shared" si="6"/>
        <v>0</v>
      </c>
      <c r="M134" s="66" t="str">
        <f t="shared" si="7"/>
        <v>UNPAID</v>
      </c>
    </row>
    <row r="135" spans="1:13" x14ac:dyDescent="0.3">
      <c r="A135" s="66">
        <f>'STUDENT DETAILS'!A132</f>
        <v>0</v>
      </c>
      <c r="B135" s="66">
        <f>'STUDENT DETAILS'!B132</f>
        <v>0</v>
      </c>
      <c r="C135" s="66">
        <f>'STUDENT DETAILS'!C132</f>
        <v>0</v>
      </c>
      <c r="D135" s="66">
        <f>'STUDENT DETAILS'!D132</f>
        <v>0</v>
      </c>
      <c r="E135" s="94">
        <f>'STUDENT DETAILS'!E132</f>
        <v>0</v>
      </c>
      <c r="F135" s="66" t="b">
        <f t="shared" ref="F135:F198" si="8">IF(C135="LKG",2000,IF(C135="HKG",3000,IF(C135="1st",4000,IF(C135="2nd",5000,IF(C135="3rd",6000,IF(C135="4th",7000,IF(C135="5th",8000,IF(C135="6th",9000,IF(C135="7th",10000,IF(C135="8th",10500,IF(C135="9th",10700,IF(C135="10th",11000,IF(C135="",0)))))))))))))</f>
        <v>0</v>
      </c>
      <c r="G135" s="66"/>
      <c r="H135" s="66"/>
      <c r="I135" s="66"/>
      <c r="J135" s="66"/>
      <c r="K135" s="66">
        <f t="shared" ref="K135:K198" si="9">SUM(G135:J135)</f>
        <v>0</v>
      </c>
      <c r="L135" s="66">
        <f t="shared" ref="L135:L198" si="10">F135-K135</f>
        <v>0</v>
      </c>
      <c r="M135" s="66" t="str">
        <f t="shared" ref="M135:M198" si="11">IF(K135&gt;=F135,"COMPLETED","UNPAID")</f>
        <v>UNPAID</v>
      </c>
    </row>
    <row r="136" spans="1:13" x14ac:dyDescent="0.3">
      <c r="A136" s="66">
        <f>'STUDENT DETAILS'!A133</f>
        <v>0</v>
      </c>
      <c r="B136" s="66">
        <f>'STUDENT DETAILS'!B133</f>
        <v>0</v>
      </c>
      <c r="C136" s="66">
        <f>'STUDENT DETAILS'!C133</f>
        <v>0</v>
      </c>
      <c r="D136" s="66">
        <f>'STUDENT DETAILS'!D133</f>
        <v>0</v>
      </c>
      <c r="E136" s="94">
        <f>'STUDENT DETAILS'!E133</f>
        <v>0</v>
      </c>
      <c r="F136" s="66" t="b">
        <f t="shared" si="8"/>
        <v>0</v>
      </c>
      <c r="G136" s="66"/>
      <c r="H136" s="66"/>
      <c r="I136" s="66"/>
      <c r="J136" s="66"/>
      <c r="K136" s="66">
        <f t="shared" si="9"/>
        <v>0</v>
      </c>
      <c r="L136" s="66">
        <f t="shared" si="10"/>
        <v>0</v>
      </c>
      <c r="M136" s="66" t="str">
        <f t="shared" si="11"/>
        <v>UNPAID</v>
      </c>
    </row>
    <row r="137" spans="1:13" x14ac:dyDescent="0.3">
      <c r="A137" s="66">
        <f>'STUDENT DETAILS'!A134</f>
        <v>0</v>
      </c>
      <c r="B137" s="66">
        <f>'STUDENT DETAILS'!B134</f>
        <v>0</v>
      </c>
      <c r="C137" s="66">
        <f>'STUDENT DETAILS'!C134</f>
        <v>0</v>
      </c>
      <c r="D137" s="66">
        <f>'STUDENT DETAILS'!D134</f>
        <v>0</v>
      </c>
      <c r="E137" s="94">
        <f>'STUDENT DETAILS'!E134</f>
        <v>0</v>
      </c>
      <c r="F137" s="66" t="b">
        <f t="shared" si="8"/>
        <v>0</v>
      </c>
      <c r="G137" s="66"/>
      <c r="H137" s="66"/>
      <c r="I137" s="66"/>
      <c r="J137" s="66"/>
      <c r="K137" s="66">
        <f t="shared" si="9"/>
        <v>0</v>
      </c>
      <c r="L137" s="66">
        <f t="shared" si="10"/>
        <v>0</v>
      </c>
      <c r="M137" s="66" t="str">
        <f t="shared" si="11"/>
        <v>UNPAID</v>
      </c>
    </row>
    <row r="138" spans="1:13" x14ac:dyDescent="0.3">
      <c r="A138" s="66">
        <f>'STUDENT DETAILS'!A135</f>
        <v>0</v>
      </c>
      <c r="B138" s="66">
        <f>'STUDENT DETAILS'!B135</f>
        <v>0</v>
      </c>
      <c r="C138" s="66">
        <f>'STUDENT DETAILS'!C135</f>
        <v>0</v>
      </c>
      <c r="D138" s="66">
        <f>'STUDENT DETAILS'!D135</f>
        <v>0</v>
      </c>
      <c r="E138" s="94">
        <f>'STUDENT DETAILS'!E135</f>
        <v>0</v>
      </c>
      <c r="F138" s="66" t="b">
        <f t="shared" si="8"/>
        <v>0</v>
      </c>
      <c r="G138" s="66"/>
      <c r="H138" s="66"/>
      <c r="I138" s="66"/>
      <c r="J138" s="66"/>
      <c r="K138" s="66">
        <f t="shared" si="9"/>
        <v>0</v>
      </c>
      <c r="L138" s="66">
        <f t="shared" si="10"/>
        <v>0</v>
      </c>
      <c r="M138" s="66" t="str">
        <f t="shared" si="11"/>
        <v>UNPAID</v>
      </c>
    </row>
    <row r="139" spans="1:13" x14ac:dyDescent="0.3">
      <c r="A139" s="66">
        <f>'STUDENT DETAILS'!A136</f>
        <v>0</v>
      </c>
      <c r="B139" s="66">
        <f>'STUDENT DETAILS'!B136</f>
        <v>0</v>
      </c>
      <c r="C139" s="66">
        <f>'STUDENT DETAILS'!C136</f>
        <v>0</v>
      </c>
      <c r="D139" s="66">
        <f>'STUDENT DETAILS'!D136</f>
        <v>0</v>
      </c>
      <c r="E139" s="94">
        <f>'STUDENT DETAILS'!E136</f>
        <v>0</v>
      </c>
      <c r="F139" s="66" t="b">
        <f t="shared" si="8"/>
        <v>0</v>
      </c>
      <c r="G139" s="66"/>
      <c r="H139" s="66"/>
      <c r="I139" s="66"/>
      <c r="J139" s="66"/>
      <c r="K139" s="66">
        <f t="shared" si="9"/>
        <v>0</v>
      </c>
      <c r="L139" s="66">
        <f t="shared" si="10"/>
        <v>0</v>
      </c>
      <c r="M139" s="66" t="str">
        <f t="shared" si="11"/>
        <v>UNPAID</v>
      </c>
    </row>
    <row r="140" spans="1:13" x14ac:dyDescent="0.3">
      <c r="A140" s="66">
        <f>'STUDENT DETAILS'!A137</f>
        <v>0</v>
      </c>
      <c r="B140" s="66">
        <f>'STUDENT DETAILS'!B137</f>
        <v>0</v>
      </c>
      <c r="C140" s="66">
        <f>'STUDENT DETAILS'!C137</f>
        <v>0</v>
      </c>
      <c r="D140" s="66">
        <f>'STUDENT DETAILS'!D137</f>
        <v>0</v>
      </c>
      <c r="E140" s="94">
        <f>'STUDENT DETAILS'!E137</f>
        <v>0</v>
      </c>
      <c r="F140" s="66" t="b">
        <f t="shared" si="8"/>
        <v>0</v>
      </c>
      <c r="G140" s="66"/>
      <c r="H140" s="66"/>
      <c r="I140" s="66"/>
      <c r="J140" s="66"/>
      <c r="K140" s="66">
        <f t="shared" si="9"/>
        <v>0</v>
      </c>
      <c r="L140" s="66">
        <f t="shared" si="10"/>
        <v>0</v>
      </c>
      <c r="M140" s="66" t="str">
        <f t="shared" si="11"/>
        <v>UNPAID</v>
      </c>
    </row>
    <row r="141" spans="1:13" x14ac:dyDescent="0.3">
      <c r="A141" s="66">
        <f>'STUDENT DETAILS'!A138</f>
        <v>0</v>
      </c>
      <c r="B141" s="66">
        <f>'STUDENT DETAILS'!B138</f>
        <v>0</v>
      </c>
      <c r="C141" s="66">
        <f>'STUDENT DETAILS'!C138</f>
        <v>0</v>
      </c>
      <c r="D141" s="66">
        <f>'STUDENT DETAILS'!D138</f>
        <v>0</v>
      </c>
      <c r="E141" s="94">
        <f>'STUDENT DETAILS'!E138</f>
        <v>0</v>
      </c>
      <c r="F141" s="66" t="b">
        <f t="shared" si="8"/>
        <v>0</v>
      </c>
      <c r="G141" s="66"/>
      <c r="H141" s="66"/>
      <c r="I141" s="66"/>
      <c r="J141" s="66"/>
      <c r="K141" s="66">
        <f t="shared" si="9"/>
        <v>0</v>
      </c>
      <c r="L141" s="66">
        <f t="shared" si="10"/>
        <v>0</v>
      </c>
      <c r="M141" s="66" t="str">
        <f t="shared" si="11"/>
        <v>UNPAID</v>
      </c>
    </row>
    <row r="142" spans="1:13" x14ac:dyDescent="0.3">
      <c r="A142" s="66">
        <f>'STUDENT DETAILS'!A139</f>
        <v>0</v>
      </c>
      <c r="B142" s="66">
        <f>'STUDENT DETAILS'!B139</f>
        <v>0</v>
      </c>
      <c r="C142" s="66">
        <f>'STUDENT DETAILS'!C139</f>
        <v>0</v>
      </c>
      <c r="D142" s="66">
        <f>'STUDENT DETAILS'!D139</f>
        <v>0</v>
      </c>
      <c r="E142" s="94">
        <f>'STUDENT DETAILS'!E139</f>
        <v>0</v>
      </c>
      <c r="F142" s="66" t="b">
        <f t="shared" si="8"/>
        <v>0</v>
      </c>
      <c r="G142" s="66"/>
      <c r="H142" s="66"/>
      <c r="I142" s="66"/>
      <c r="J142" s="66"/>
      <c r="K142" s="66">
        <f t="shared" si="9"/>
        <v>0</v>
      </c>
      <c r="L142" s="66">
        <f t="shared" si="10"/>
        <v>0</v>
      </c>
      <c r="M142" s="66" t="str">
        <f t="shared" si="11"/>
        <v>UNPAID</v>
      </c>
    </row>
    <row r="143" spans="1:13" x14ac:dyDescent="0.3">
      <c r="A143" s="66">
        <f>'STUDENT DETAILS'!A140</f>
        <v>0</v>
      </c>
      <c r="B143" s="66">
        <f>'STUDENT DETAILS'!B140</f>
        <v>0</v>
      </c>
      <c r="C143" s="66">
        <f>'STUDENT DETAILS'!C140</f>
        <v>0</v>
      </c>
      <c r="D143" s="66">
        <f>'STUDENT DETAILS'!D140</f>
        <v>0</v>
      </c>
      <c r="E143" s="94">
        <f>'STUDENT DETAILS'!E140</f>
        <v>0</v>
      </c>
      <c r="F143" s="66" t="b">
        <f t="shared" si="8"/>
        <v>0</v>
      </c>
      <c r="G143" s="66"/>
      <c r="H143" s="66"/>
      <c r="I143" s="66"/>
      <c r="J143" s="66"/>
      <c r="K143" s="66">
        <f t="shared" si="9"/>
        <v>0</v>
      </c>
      <c r="L143" s="66">
        <f t="shared" si="10"/>
        <v>0</v>
      </c>
      <c r="M143" s="66" t="str">
        <f t="shared" si="11"/>
        <v>UNPAID</v>
      </c>
    </row>
    <row r="144" spans="1:13" x14ac:dyDescent="0.3">
      <c r="A144" s="66">
        <f>'STUDENT DETAILS'!A141</f>
        <v>0</v>
      </c>
      <c r="B144" s="66">
        <f>'STUDENT DETAILS'!B141</f>
        <v>0</v>
      </c>
      <c r="C144" s="66">
        <f>'STUDENT DETAILS'!C141</f>
        <v>0</v>
      </c>
      <c r="D144" s="66">
        <f>'STUDENT DETAILS'!D141</f>
        <v>0</v>
      </c>
      <c r="E144" s="94">
        <f>'STUDENT DETAILS'!E141</f>
        <v>0</v>
      </c>
      <c r="F144" s="66" t="b">
        <f t="shared" si="8"/>
        <v>0</v>
      </c>
      <c r="G144" s="66"/>
      <c r="H144" s="66"/>
      <c r="I144" s="66"/>
      <c r="J144" s="66"/>
      <c r="K144" s="66">
        <f t="shared" si="9"/>
        <v>0</v>
      </c>
      <c r="L144" s="66">
        <f t="shared" si="10"/>
        <v>0</v>
      </c>
      <c r="M144" s="66" t="str">
        <f t="shared" si="11"/>
        <v>UNPAID</v>
      </c>
    </row>
    <row r="145" spans="1:13" x14ac:dyDescent="0.3">
      <c r="A145" s="66">
        <f>'STUDENT DETAILS'!A142</f>
        <v>0</v>
      </c>
      <c r="B145" s="66">
        <f>'STUDENT DETAILS'!B142</f>
        <v>0</v>
      </c>
      <c r="C145" s="66">
        <f>'STUDENT DETAILS'!C142</f>
        <v>0</v>
      </c>
      <c r="D145" s="66">
        <f>'STUDENT DETAILS'!D142</f>
        <v>0</v>
      </c>
      <c r="E145" s="94">
        <f>'STUDENT DETAILS'!E142</f>
        <v>0</v>
      </c>
      <c r="F145" s="66" t="b">
        <f t="shared" si="8"/>
        <v>0</v>
      </c>
      <c r="G145" s="66"/>
      <c r="H145" s="66"/>
      <c r="I145" s="66"/>
      <c r="J145" s="66"/>
      <c r="K145" s="66">
        <f t="shared" si="9"/>
        <v>0</v>
      </c>
      <c r="L145" s="66">
        <f t="shared" si="10"/>
        <v>0</v>
      </c>
      <c r="M145" s="66" t="str">
        <f t="shared" si="11"/>
        <v>UNPAID</v>
      </c>
    </row>
    <row r="146" spans="1:13" x14ac:dyDescent="0.3">
      <c r="A146" s="66">
        <f>'STUDENT DETAILS'!A143</f>
        <v>0</v>
      </c>
      <c r="B146" s="66">
        <f>'STUDENT DETAILS'!B143</f>
        <v>0</v>
      </c>
      <c r="C146" s="66">
        <f>'STUDENT DETAILS'!C143</f>
        <v>0</v>
      </c>
      <c r="D146" s="66">
        <f>'STUDENT DETAILS'!D143</f>
        <v>0</v>
      </c>
      <c r="E146" s="94">
        <f>'STUDENT DETAILS'!E143</f>
        <v>0</v>
      </c>
      <c r="F146" s="66" t="b">
        <f t="shared" si="8"/>
        <v>0</v>
      </c>
      <c r="G146" s="66"/>
      <c r="H146" s="66"/>
      <c r="I146" s="66"/>
      <c r="J146" s="66"/>
      <c r="K146" s="66">
        <f t="shared" si="9"/>
        <v>0</v>
      </c>
      <c r="L146" s="66">
        <f t="shared" si="10"/>
        <v>0</v>
      </c>
      <c r="M146" s="66" t="str">
        <f t="shared" si="11"/>
        <v>UNPAID</v>
      </c>
    </row>
    <row r="147" spans="1:13" x14ac:dyDescent="0.3">
      <c r="A147" s="66">
        <f>'STUDENT DETAILS'!A144</f>
        <v>0</v>
      </c>
      <c r="B147" s="66">
        <f>'STUDENT DETAILS'!B144</f>
        <v>0</v>
      </c>
      <c r="C147" s="66">
        <f>'STUDENT DETAILS'!C144</f>
        <v>0</v>
      </c>
      <c r="D147" s="66">
        <f>'STUDENT DETAILS'!D144</f>
        <v>0</v>
      </c>
      <c r="E147" s="94">
        <f>'STUDENT DETAILS'!E144</f>
        <v>0</v>
      </c>
      <c r="F147" s="66" t="b">
        <f t="shared" si="8"/>
        <v>0</v>
      </c>
      <c r="G147" s="66"/>
      <c r="H147" s="66"/>
      <c r="I147" s="66"/>
      <c r="J147" s="66"/>
      <c r="K147" s="66">
        <f t="shared" si="9"/>
        <v>0</v>
      </c>
      <c r="L147" s="66">
        <f t="shared" si="10"/>
        <v>0</v>
      </c>
      <c r="M147" s="66" t="str">
        <f t="shared" si="11"/>
        <v>UNPAID</v>
      </c>
    </row>
    <row r="148" spans="1:13" x14ac:dyDescent="0.3">
      <c r="A148" s="66">
        <f>'STUDENT DETAILS'!A145</f>
        <v>0</v>
      </c>
      <c r="B148" s="66">
        <f>'STUDENT DETAILS'!B145</f>
        <v>0</v>
      </c>
      <c r="C148" s="66">
        <f>'STUDENT DETAILS'!C145</f>
        <v>0</v>
      </c>
      <c r="D148" s="66">
        <f>'STUDENT DETAILS'!D145</f>
        <v>0</v>
      </c>
      <c r="E148" s="94">
        <f>'STUDENT DETAILS'!E145</f>
        <v>0</v>
      </c>
      <c r="F148" s="66" t="b">
        <f t="shared" si="8"/>
        <v>0</v>
      </c>
      <c r="G148" s="66"/>
      <c r="H148" s="66"/>
      <c r="I148" s="66"/>
      <c r="J148" s="66"/>
      <c r="K148" s="66">
        <f t="shared" si="9"/>
        <v>0</v>
      </c>
      <c r="L148" s="66">
        <f t="shared" si="10"/>
        <v>0</v>
      </c>
      <c r="M148" s="66" t="str">
        <f t="shared" si="11"/>
        <v>UNPAID</v>
      </c>
    </row>
    <row r="149" spans="1:13" x14ac:dyDescent="0.3">
      <c r="A149" s="66">
        <f>'STUDENT DETAILS'!A146</f>
        <v>0</v>
      </c>
      <c r="B149" s="66">
        <f>'STUDENT DETAILS'!B146</f>
        <v>0</v>
      </c>
      <c r="C149" s="66">
        <f>'STUDENT DETAILS'!C146</f>
        <v>0</v>
      </c>
      <c r="D149" s="66">
        <f>'STUDENT DETAILS'!D146</f>
        <v>0</v>
      </c>
      <c r="E149" s="94">
        <f>'STUDENT DETAILS'!E146</f>
        <v>0</v>
      </c>
      <c r="F149" s="66" t="b">
        <f t="shared" si="8"/>
        <v>0</v>
      </c>
      <c r="G149" s="66"/>
      <c r="H149" s="66"/>
      <c r="I149" s="66"/>
      <c r="J149" s="66"/>
      <c r="K149" s="66">
        <f t="shared" si="9"/>
        <v>0</v>
      </c>
      <c r="L149" s="66">
        <f t="shared" si="10"/>
        <v>0</v>
      </c>
      <c r="M149" s="66" t="str">
        <f t="shared" si="11"/>
        <v>UNPAID</v>
      </c>
    </row>
    <row r="150" spans="1:13" x14ac:dyDescent="0.3">
      <c r="A150" s="66">
        <f>'STUDENT DETAILS'!A147</f>
        <v>0</v>
      </c>
      <c r="B150" s="66">
        <f>'STUDENT DETAILS'!B147</f>
        <v>0</v>
      </c>
      <c r="C150" s="66">
        <f>'STUDENT DETAILS'!C147</f>
        <v>0</v>
      </c>
      <c r="D150" s="66">
        <f>'STUDENT DETAILS'!D147</f>
        <v>0</v>
      </c>
      <c r="E150" s="94">
        <f>'STUDENT DETAILS'!E147</f>
        <v>0</v>
      </c>
      <c r="F150" s="66" t="b">
        <f t="shared" si="8"/>
        <v>0</v>
      </c>
      <c r="G150" s="66"/>
      <c r="H150" s="66"/>
      <c r="I150" s="66"/>
      <c r="J150" s="66"/>
      <c r="K150" s="66">
        <f t="shared" si="9"/>
        <v>0</v>
      </c>
      <c r="L150" s="66">
        <f t="shared" si="10"/>
        <v>0</v>
      </c>
      <c r="M150" s="66" t="str">
        <f t="shared" si="11"/>
        <v>UNPAID</v>
      </c>
    </row>
    <row r="151" spans="1:13" x14ac:dyDescent="0.3">
      <c r="A151" s="66">
        <f>'STUDENT DETAILS'!A148</f>
        <v>0</v>
      </c>
      <c r="B151" s="66">
        <f>'STUDENT DETAILS'!B148</f>
        <v>0</v>
      </c>
      <c r="C151" s="66">
        <f>'STUDENT DETAILS'!C148</f>
        <v>0</v>
      </c>
      <c r="D151" s="66">
        <f>'STUDENT DETAILS'!D148</f>
        <v>0</v>
      </c>
      <c r="E151" s="94">
        <f>'STUDENT DETAILS'!E148</f>
        <v>0</v>
      </c>
      <c r="F151" s="66" t="b">
        <f t="shared" si="8"/>
        <v>0</v>
      </c>
      <c r="G151" s="66"/>
      <c r="H151" s="66"/>
      <c r="I151" s="66"/>
      <c r="J151" s="66"/>
      <c r="K151" s="66">
        <f t="shared" si="9"/>
        <v>0</v>
      </c>
      <c r="L151" s="66">
        <f t="shared" si="10"/>
        <v>0</v>
      </c>
      <c r="M151" s="66" t="str">
        <f t="shared" si="11"/>
        <v>UNPAID</v>
      </c>
    </row>
    <row r="152" spans="1:13" x14ac:dyDescent="0.3">
      <c r="A152" s="66">
        <f>'STUDENT DETAILS'!A149</f>
        <v>0</v>
      </c>
      <c r="B152" s="66">
        <f>'STUDENT DETAILS'!B149</f>
        <v>0</v>
      </c>
      <c r="C152" s="66">
        <f>'STUDENT DETAILS'!C149</f>
        <v>0</v>
      </c>
      <c r="D152" s="66">
        <f>'STUDENT DETAILS'!D149</f>
        <v>0</v>
      </c>
      <c r="E152" s="94">
        <f>'STUDENT DETAILS'!E149</f>
        <v>0</v>
      </c>
      <c r="F152" s="66" t="b">
        <f t="shared" si="8"/>
        <v>0</v>
      </c>
      <c r="G152" s="66"/>
      <c r="H152" s="66"/>
      <c r="I152" s="66"/>
      <c r="J152" s="66"/>
      <c r="K152" s="66">
        <f t="shared" si="9"/>
        <v>0</v>
      </c>
      <c r="L152" s="66">
        <f t="shared" si="10"/>
        <v>0</v>
      </c>
      <c r="M152" s="66" t="str">
        <f t="shared" si="11"/>
        <v>UNPAID</v>
      </c>
    </row>
    <row r="153" spans="1:13" x14ac:dyDescent="0.3">
      <c r="A153" s="66">
        <f>'STUDENT DETAILS'!A150</f>
        <v>0</v>
      </c>
      <c r="B153" s="66">
        <f>'STUDENT DETAILS'!B150</f>
        <v>0</v>
      </c>
      <c r="C153" s="66">
        <f>'STUDENT DETAILS'!C150</f>
        <v>0</v>
      </c>
      <c r="D153" s="66">
        <f>'STUDENT DETAILS'!D150</f>
        <v>0</v>
      </c>
      <c r="E153" s="94">
        <f>'STUDENT DETAILS'!E150</f>
        <v>0</v>
      </c>
      <c r="F153" s="66" t="b">
        <f t="shared" si="8"/>
        <v>0</v>
      </c>
      <c r="G153" s="66"/>
      <c r="H153" s="66"/>
      <c r="I153" s="66"/>
      <c r="J153" s="66"/>
      <c r="K153" s="66">
        <f t="shared" si="9"/>
        <v>0</v>
      </c>
      <c r="L153" s="66">
        <f t="shared" si="10"/>
        <v>0</v>
      </c>
      <c r="M153" s="66" t="str">
        <f t="shared" si="11"/>
        <v>UNPAID</v>
      </c>
    </row>
    <row r="154" spans="1:13" x14ac:dyDescent="0.3">
      <c r="A154" s="66">
        <f>'STUDENT DETAILS'!A151</f>
        <v>0</v>
      </c>
      <c r="B154" s="66">
        <f>'STUDENT DETAILS'!B151</f>
        <v>0</v>
      </c>
      <c r="C154" s="66">
        <f>'STUDENT DETAILS'!C151</f>
        <v>0</v>
      </c>
      <c r="D154" s="66">
        <f>'STUDENT DETAILS'!D151</f>
        <v>0</v>
      </c>
      <c r="E154" s="94">
        <f>'STUDENT DETAILS'!E151</f>
        <v>0</v>
      </c>
      <c r="F154" s="66" t="b">
        <f t="shared" si="8"/>
        <v>0</v>
      </c>
      <c r="G154" s="66"/>
      <c r="H154" s="66"/>
      <c r="I154" s="66"/>
      <c r="J154" s="66"/>
      <c r="K154" s="66">
        <f t="shared" si="9"/>
        <v>0</v>
      </c>
      <c r="L154" s="66">
        <f t="shared" si="10"/>
        <v>0</v>
      </c>
      <c r="M154" s="66" t="str">
        <f t="shared" si="11"/>
        <v>UNPAID</v>
      </c>
    </row>
    <row r="155" spans="1:13" x14ac:dyDescent="0.3">
      <c r="A155" s="66">
        <f>'STUDENT DETAILS'!A152</f>
        <v>0</v>
      </c>
      <c r="B155" s="66">
        <f>'STUDENT DETAILS'!B152</f>
        <v>0</v>
      </c>
      <c r="C155" s="66">
        <f>'STUDENT DETAILS'!C152</f>
        <v>0</v>
      </c>
      <c r="D155" s="66">
        <f>'STUDENT DETAILS'!D152</f>
        <v>0</v>
      </c>
      <c r="E155" s="94">
        <f>'STUDENT DETAILS'!E152</f>
        <v>0</v>
      </c>
      <c r="F155" s="66" t="b">
        <f t="shared" si="8"/>
        <v>0</v>
      </c>
      <c r="G155" s="66"/>
      <c r="H155" s="66"/>
      <c r="I155" s="66"/>
      <c r="J155" s="66"/>
      <c r="K155" s="66">
        <f t="shared" si="9"/>
        <v>0</v>
      </c>
      <c r="L155" s="66">
        <f t="shared" si="10"/>
        <v>0</v>
      </c>
      <c r="M155" s="66" t="str">
        <f t="shared" si="11"/>
        <v>UNPAID</v>
      </c>
    </row>
    <row r="156" spans="1:13" x14ac:dyDescent="0.3">
      <c r="A156" s="66">
        <f>'STUDENT DETAILS'!A153</f>
        <v>0</v>
      </c>
      <c r="B156" s="66">
        <f>'STUDENT DETAILS'!B153</f>
        <v>0</v>
      </c>
      <c r="C156" s="66">
        <f>'STUDENT DETAILS'!C153</f>
        <v>0</v>
      </c>
      <c r="D156" s="66">
        <f>'STUDENT DETAILS'!D153</f>
        <v>0</v>
      </c>
      <c r="E156" s="94">
        <f>'STUDENT DETAILS'!E153</f>
        <v>0</v>
      </c>
      <c r="F156" s="66" t="b">
        <f t="shared" si="8"/>
        <v>0</v>
      </c>
      <c r="G156" s="66"/>
      <c r="H156" s="66"/>
      <c r="I156" s="66"/>
      <c r="J156" s="66"/>
      <c r="K156" s="66">
        <f t="shared" si="9"/>
        <v>0</v>
      </c>
      <c r="L156" s="66">
        <f t="shared" si="10"/>
        <v>0</v>
      </c>
      <c r="M156" s="66" t="str">
        <f t="shared" si="11"/>
        <v>UNPAID</v>
      </c>
    </row>
    <row r="157" spans="1:13" x14ac:dyDescent="0.3">
      <c r="A157" s="66">
        <f>'STUDENT DETAILS'!A154</f>
        <v>0</v>
      </c>
      <c r="B157" s="66">
        <f>'STUDENT DETAILS'!B154</f>
        <v>0</v>
      </c>
      <c r="C157" s="66">
        <f>'STUDENT DETAILS'!C154</f>
        <v>0</v>
      </c>
      <c r="D157" s="66">
        <f>'STUDENT DETAILS'!D154</f>
        <v>0</v>
      </c>
      <c r="E157" s="94">
        <f>'STUDENT DETAILS'!E154</f>
        <v>0</v>
      </c>
      <c r="F157" s="66" t="b">
        <f t="shared" si="8"/>
        <v>0</v>
      </c>
      <c r="G157" s="66"/>
      <c r="H157" s="66"/>
      <c r="I157" s="66"/>
      <c r="J157" s="66"/>
      <c r="K157" s="66">
        <f t="shared" si="9"/>
        <v>0</v>
      </c>
      <c r="L157" s="66">
        <f t="shared" si="10"/>
        <v>0</v>
      </c>
      <c r="M157" s="66" t="str">
        <f t="shared" si="11"/>
        <v>UNPAID</v>
      </c>
    </row>
    <row r="158" spans="1:13" x14ac:dyDescent="0.3">
      <c r="A158" s="66">
        <f>'STUDENT DETAILS'!A155</f>
        <v>0</v>
      </c>
      <c r="B158" s="66">
        <f>'STUDENT DETAILS'!B155</f>
        <v>0</v>
      </c>
      <c r="C158" s="66">
        <f>'STUDENT DETAILS'!C155</f>
        <v>0</v>
      </c>
      <c r="D158" s="66">
        <f>'STUDENT DETAILS'!D155</f>
        <v>0</v>
      </c>
      <c r="E158" s="94">
        <f>'STUDENT DETAILS'!E155</f>
        <v>0</v>
      </c>
      <c r="F158" s="66" t="b">
        <f t="shared" si="8"/>
        <v>0</v>
      </c>
      <c r="G158" s="66"/>
      <c r="H158" s="66"/>
      <c r="I158" s="66"/>
      <c r="J158" s="66"/>
      <c r="K158" s="66">
        <f t="shared" si="9"/>
        <v>0</v>
      </c>
      <c r="L158" s="66">
        <f t="shared" si="10"/>
        <v>0</v>
      </c>
      <c r="M158" s="66" t="str">
        <f t="shared" si="11"/>
        <v>UNPAID</v>
      </c>
    </row>
    <row r="159" spans="1:13" x14ac:dyDescent="0.3">
      <c r="A159" s="66">
        <f>'STUDENT DETAILS'!A156</f>
        <v>0</v>
      </c>
      <c r="B159" s="66">
        <f>'STUDENT DETAILS'!B156</f>
        <v>0</v>
      </c>
      <c r="C159" s="66">
        <f>'STUDENT DETAILS'!C156</f>
        <v>0</v>
      </c>
      <c r="D159" s="66">
        <f>'STUDENT DETAILS'!D156</f>
        <v>0</v>
      </c>
      <c r="E159" s="94">
        <f>'STUDENT DETAILS'!E156</f>
        <v>0</v>
      </c>
      <c r="F159" s="66" t="b">
        <f t="shared" si="8"/>
        <v>0</v>
      </c>
      <c r="G159" s="66"/>
      <c r="H159" s="66"/>
      <c r="I159" s="66"/>
      <c r="J159" s="66"/>
      <c r="K159" s="66">
        <f t="shared" si="9"/>
        <v>0</v>
      </c>
      <c r="L159" s="66">
        <f t="shared" si="10"/>
        <v>0</v>
      </c>
      <c r="M159" s="66" t="str">
        <f t="shared" si="11"/>
        <v>UNPAID</v>
      </c>
    </row>
    <row r="160" spans="1:13" x14ac:dyDescent="0.3">
      <c r="A160" s="66">
        <f>'STUDENT DETAILS'!A157</f>
        <v>0</v>
      </c>
      <c r="B160" s="66">
        <f>'STUDENT DETAILS'!B157</f>
        <v>0</v>
      </c>
      <c r="C160" s="66">
        <f>'STUDENT DETAILS'!C157</f>
        <v>0</v>
      </c>
      <c r="D160" s="66">
        <f>'STUDENT DETAILS'!D157</f>
        <v>0</v>
      </c>
      <c r="E160" s="94">
        <f>'STUDENT DETAILS'!E157</f>
        <v>0</v>
      </c>
      <c r="F160" s="66" t="b">
        <f t="shared" si="8"/>
        <v>0</v>
      </c>
      <c r="G160" s="66"/>
      <c r="H160" s="66"/>
      <c r="I160" s="66"/>
      <c r="J160" s="66"/>
      <c r="K160" s="66">
        <f t="shared" si="9"/>
        <v>0</v>
      </c>
      <c r="L160" s="66">
        <f t="shared" si="10"/>
        <v>0</v>
      </c>
      <c r="M160" s="66" t="str">
        <f t="shared" si="11"/>
        <v>UNPAID</v>
      </c>
    </row>
    <row r="161" spans="1:13" x14ac:dyDescent="0.3">
      <c r="A161" s="66">
        <f>'STUDENT DETAILS'!A158</f>
        <v>0</v>
      </c>
      <c r="B161" s="66">
        <f>'STUDENT DETAILS'!B158</f>
        <v>0</v>
      </c>
      <c r="C161" s="66">
        <f>'STUDENT DETAILS'!C158</f>
        <v>0</v>
      </c>
      <c r="D161" s="66">
        <f>'STUDENT DETAILS'!D158</f>
        <v>0</v>
      </c>
      <c r="E161" s="94">
        <f>'STUDENT DETAILS'!E158</f>
        <v>0</v>
      </c>
      <c r="F161" s="66" t="b">
        <f t="shared" si="8"/>
        <v>0</v>
      </c>
      <c r="G161" s="66"/>
      <c r="H161" s="66"/>
      <c r="I161" s="66"/>
      <c r="J161" s="66"/>
      <c r="K161" s="66">
        <f t="shared" si="9"/>
        <v>0</v>
      </c>
      <c r="L161" s="66">
        <f t="shared" si="10"/>
        <v>0</v>
      </c>
      <c r="M161" s="66" t="str">
        <f t="shared" si="11"/>
        <v>UNPAID</v>
      </c>
    </row>
    <row r="162" spans="1:13" x14ac:dyDescent="0.3">
      <c r="A162" s="66">
        <f>'STUDENT DETAILS'!A159</f>
        <v>0</v>
      </c>
      <c r="B162" s="66">
        <f>'STUDENT DETAILS'!B159</f>
        <v>0</v>
      </c>
      <c r="C162" s="66">
        <f>'STUDENT DETAILS'!C159</f>
        <v>0</v>
      </c>
      <c r="D162" s="66">
        <f>'STUDENT DETAILS'!D159</f>
        <v>0</v>
      </c>
      <c r="E162" s="94">
        <f>'STUDENT DETAILS'!E159</f>
        <v>0</v>
      </c>
      <c r="F162" s="66" t="b">
        <f t="shared" si="8"/>
        <v>0</v>
      </c>
      <c r="G162" s="66"/>
      <c r="H162" s="66"/>
      <c r="I162" s="66"/>
      <c r="J162" s="66"/>
      <c r="K162" s="66">
        <f t="shared" si="9"/>
        <v>0</v>
      </c>
      <c r="L162" s="66">
        <f t="shared" si="10"/>
        <v>0</v>
      </c>
      <c r="M162" s="66" t="str">
        <f t="shared" si="11"/>
        <v>UNPAID</v>
      </c>
    </row>
    <row r="163" spans="1:13" x14ac:dyDescent="0.3">
      <c r="A163" s="66">
        <f>'STUDENT DETAILS'!A160</f>
        <v>0</v>
      </c>
      <c r="B163" s="66">
        <f>'STUDENT DETAILS'!B160</f>
        <v>0</v>
      </c>
      <c r="C163" s="66">
        <f>'STUDENT DETAILS'!C160</f>
        <v>0</v>
      </c>
      <c r="D163" s="66">
        <f>'STUDENT DETAILS'!D160</f>
        <v>0</v>
      </c>
      <c r="E163" s="94">
        <f>'STUDENT DETAILS'!E160</f>
        <v>0</v>
      </c>
      <c r="F163" s="66" t="b">
        <f t="shared" si="8"/>
        <v>0</v>
      </c>
      <c r="G163" s="66"/>
      <c r="H163" s="66"/>
      <c r="I163" s="66"/>
      <c r="J163" s="66"/>
      <c r="K163" s="66">
        <f t="shared" si="9"/>
        <v>0</v>
      </c>
      <c r="L163" s="66">
        <f t="shared" si="10"/>
        <v>0</v>
      </c>
      <c r="M163" s="66" t="str">
        <f t="shared" si="11"/>
        <v>UNPAID</v>
      </c>
    </row>
    <row r="164" spans="1:13" x14ac:dyDescent="0.3">
      <c r="A164" s="66">
        <f>'STUDENT DETAILS'!A161</f>
        <v>0</v>
      </c>
      <c r="B164" s="66">
        <f>'STUDENT DETAILS'!B161</f>
        <v>0</v>
      </c>
      <c r="C164" s="66">
        <f>'STUDENT DETAILS'!C161</f>
        <v>0</v>
      </c>
      <c r="D164" s="66">
        <f>'STUDENT DETAILS'!D161</f>
        <v>0</v>
      </c>
      <c r="E164" s="94">
        <f>'STUDENT DETAILS'!E161</f>
        <v>0</v>
      </c>
      <c r="F164" s="66" t="b">
        <f t="shared" si="8"/>
        <v>0</v>
      </c>
      <c r="G164" s="66"/>
      <c r="H164" s="66"/>
      <c r="I164" s="66"/>
      <c r="J164" s="66"/>
      <c r="K164" s="66">
        <f t="shared" si="9"/>
        <v>0</v>
      </c>
      <c r="L164" s="66">
        <f t="shared" si="10"/>
        <v>0</v>
      </c>
      <c r="M164" s="66" t="str">
        <f t="shared" si="11"/>
        <v>UNPAID</v>
      </c>
    </row>
    <row r="165" spans="1:13" x14ac:dyDescent="0.3">
      <c r="A165" s="66">
        <f>'STUDENT DETAILS'!A162</f>
        <v>0</v>
      </c>
      <c r="B165" s="66">
        <f>'STUDENT DETAILS'!B162</f>
        <v>0</v>
      </c>
      <c r="C165" s="66">
        <f>'STUDENT DETAILS'!C162</f>
        <v>0</v>
      </c>
      <c r="D165" s="66">
        <f>'STUDENT DETAILS'!D162</f>
        <v>0</v>
      </c>
      <c r="E165" s="94">
        <f>'STUDENT DETAILS'!E162</f>
        <v>0</v>
      </c>
      <c r="F165" s="66" t="b">
        <f t="shared" si="8"/>
        <v>0</v>
      </c>
      <c r="G165" s="66"/>
      <c r="H165" s="66"/>
      <c r="I165" s="66"/>
      <c r="J165" s="66"/>
      <c r="K165" s="66">
        <f t="shared" si="9"/>
        <v>0</v>
      </c>
      <c r="L165" s="66">
        <f t="shared" si="10"/>
        <v>0</v>
      </c>
      <c r="M165" s="66" t="str">
        <f t="shared" si="11"/>
        <v>UNPAID</v>
      </c>
    </row>
    <row r="166" spans="1:13" x14ac:dyDescent="0.3">
      <c r="A166" s="66">
        <f>'STUDENT DETAILS'!A163</f>
        <v>0</v>
      </c>
      <c r="B166" s="66">
        <f>'STUDENT DETAILS'!B163</f>
        <v>0</v>
      </c>
      <c r="C166" s="66">
        <f>'STUDENT DETAILS'!C163</f>
        <v>0</v>
      </c>
      <c r="D166" s="66">
        <f>'STUDENT DETAILS'!D163</f>
        <v>0</v>
      </c>
      <c r="E166" s="94">
        <f>'STUDENT DETAILS'!E163</f>
        <v>0</v>
      </c>
      <c r="F166" s="66" t="b">
        <f t="shared" si="8"/>
        <v>0</v>
      </c>
      <c r="G166" s="66"/>
      <c r="H166" s="66"/>
      <c r="I166" s="66"/>
      <c r="J166" s="66"/>
      <c r="K166" s="66">
        <f t="shared" si="9"/>
        <v>0</v>
      </c>
      <c r="L166" s="66">
        <f t="shared" si="10"/>
        <v>0</v>
      </c>
      <c r="M166" s="66" t="str">
        <f t="shared" si="11"/>
        <v>UNPAID</v>
      </c>
    </row>
    <row r="167" spans="1:13" x14ac:dyDescent="0.3">
      <c r="A167" s="66">
        <f>'STUDENT DETAILS'!A164</f>
        <v>0</v>
      </c>
      <c r="B167" s="66">
        <f>'STUDENT DETAILS'!B164</f>
        <v>0</v>
      </c>
      <c r="C167" s="66">
        <f>'STUDENT DETAILS'!C164</f>
        <v>0</v>
      </c>
      <c r="D167" s="66">
        <f>'STUDENT DETAILS'!D164</f>
        <v>0</v>
      </c>
      <c r="E167" s="94">
        <f>'STUDENT DETAILS'!E164</f>
        <v>0</v>
      </c>
      <c r="F167" s="66" t="b">
        <f t="shared" si="8"/>
        <v>0</v>
      </c>
      <c r="G167" s="66"/>
      <c r="H167" s="66"/>
      <c r="I167" s="66"/>
      <c r="J167" s="66"/>
      <c r="K167" s="66">
        <f t="shared" si="9"/>
        <v>0</v>
      </c>
      <c r="L167" s="66">
        <f t="shared" si="10"/>
        <v>0</v>
      </c>
      <c r="M167" s="66" t="str">
        <f t="shared" si="11"/>
        <v>UNPAID</v>
      </c>
    </row>
    <row r="168" spans="1:13" x14ac:dyDescent="0.3">
      <c r="A168" s="66">
        <f>'STUDENT DETAILS'!A165</f>
        <v>0</v>
      </c>
      <c r="B168" s="66">
        <f>'STUDENT DETAILS'!B165</f>
        <v>0</v>
      </c>
      <c r="C168" s="66">
        <f>'STUDENT DETAILS'!C165</f>
        <v>0</v>
      </c>
      <c r="D168" s="66">
        <f>'STUDENT DETAILS'!D165</f>
        <v>0</v>
      </c>
      <c r="E168" s="94">
        <f>'STUDENT DETAILS'!E165</f>
        <v>0</v>
      </c>
      <c r="F168" s="66" t="b">
        <f t="shared" si="8"/>
        <v>0</v>
      </c>
      <c r="G168" s="66"/>
      <c r="H168" s="66"/>
      <c r="I168" s="66"/>
      <c r="J168" s="66"/>
      <c r="K168" s="66">
        <f t="shared" si="9"/>
        <v>0</v>
      </c>
      <c r="L168" s="66">
        <f t="shared" si="10"/>
        <v>0</v>
      </c>
      <c r="M168" s="66" t="str">
        <f t="shared" si="11"/>
        <v>UNPAID</v>
      </c>
    </row>
    <row r="169" spans="1:13" x14ac:dyDescent="0.3">
      <c r="A169" s="66">
        <f>'STUDENT DETAILS'!A166</f>
        <v>0</v>
      </c>
      <c r="B169" s="66">
        <f>'STUDENT DETAILS'!B166</f>
        <v>0</v>
      </c>
      <c r="C169" s="66">
        <f>'STUDENT DETAILS'!C166</f>
        <v>0</v>
      </c>
      <c r="D169" s="66">
        <f>'STUDENT DETAILS'!D166</f>
        <v>0</v>
      </c>
      <c r="E169" s="94">
        <f>'STUDENT DETAILS'!E166</f>
        <v>0</v>
      </c>
      <c r="F169" s="66" t="b">
        <f t="shared" si="8"/>
        <v>0</v>
      </c>
      <c r="G169" s="66"/>
      <c r="H169" s="66"/>
      <c r="I169" s="66"/>
      <c r="J169" s="66"/>
      <c r="K169" s="66">
        <f t="shared" si="9"/>
        <v>0</v>
      </c>
      <c r="L169" s="66">
        <f t="shared" si="10"/>
        <v>0</v>
      </c>
      <c r="M169" s="66" t="str">
        <f t="shared" si="11"/>
        <v>UNPAID</v>
      </c>
    </row>
    <row r="170" spans="1:13" x14ac:dyDescent="0.3">
      <c r="A170" s="66">
        <f>'STUDENT DETAILS'!A167</f>
        <v>0</v>
      </c>
      <c r="B170" s="66">
        <f>'STUDENT DETAILS'!B167</f>
        <v>0</v>
      </c>
      <c r="C170" s="66">
        <f>'STUDENT DETAILS'!C167</f>
        <v>0</v>
      </c>
      <c r="D170" s="66">
        <f>'STUDENT DETAILS'!D167</f>
        <v>0</v>
      </c>
      <c r="E170" s="94">
        <f>'STUDENT DETAILS'!E167</f>
        <v>0</v>
      </c>
      <c r="F170" s="66" t="b">
        <f t="shared" si="8"/>
        <v>0</v>
      </c>
      <c r="G170" s="66"/>
      <c r="H170" s="66"/>
      <c r="I170" s="66"/>
      <c r="J170" s="66"/>
      <c r="K170" s="66">
        <f t="shared" si="9"/>
        <v>0</v>
      </c>
      <c r="L170" s="66">
        <f t="shared" si="10"/>
        <v>0</v>
      </c>
      <c r="M170" s="66" t="str">
        <f t="shared" si="11"/>
        <v>UNPAID</v>
      </c>
    </row>
    <row r="171" spans="1:13" x14ac:dyDescent="0.3">
      <c r="A171" s="66">
        <f>'STUDENT DETAILS'!A168</f>
        <v>0</v>
      </c>
      <c r="B171" s="66">
        <f>'STUDENT DETAILS'!B168</f>
        <v>0</v>
      </c>
      <c r="C171" s="66">
        <f>'STUDENT DETAILS'!C168</f>
        <v>0</v>
      </c>
      <c r="D171" s="66">
        <f>'STUDENT DETAILS'!D168</f>
        <v>0</v>
      </c>
      <c r="E171" s="94">
        <f>'STUDENT DETAILS'!E168</f>
        <v>0</v>
      </c>
      <c r="F171" s="66" t="b">
        <f t="shared" si="8"/>
        <v>0</v>
      </c>
      <c r="G171" s="66"/>
      <c r="H171" s="66"/>
      <c r="I171" s="66"/>
      <c r="J171" s="66"/>
      <c r="K171" s="66">
        <f t="shared" si="9"/>
        <v>0</v>
      </c>
      <c r="L171" s="66">
        <f t="shared" si="10"/>
        <v>0</v>
      </c>
      <c r="M171" s="66" t="str">
        <f t="shared" si="11"/>
        <v>UNPAID</v>
      </c>
    </row>
    <row r="172" spans="1:13" x14ac:dyDescent="0.3">
      <c r="A172" s="66">
        <f>'STUDENT DETAILS'!A169</f>
        <v>0</v>
      </c>
      <c r="B172" s="66">
        <f>'STUDENT DETAILS'!B169</f>
        <v>0</v>
      </c>
      <c r="C172" s="66">
        <f>'STUDENT DETAILS'!C169</f>
        <v>0</v>
      </c>
      <c r="D172" s="66">
        <f>'STUDENT DETAILS'!D169</f>
        <v>0</v>
      </c>
      <c r="E172" s="94">
        <f>'STUDENT DETAILS'!E169</f>
        <v>0</v>
      </c>
      <c r="F172" s="66" t="b">
        <f t="shared" si="8"/>
        <v>0</v>
      </c>
      <c r="G172" s="66"/>
      <c r="H172" s="66"/>
      <c r="I172" s="66"/>
      <c r="J172" s="66"/>
      <c r="K172" s="66">
        <f t="shared" si="9"/>
        <v>0</v>
      </c>
      <c r="L172" s="66">
        <f t="shared" si="10"/>
        <v>0</v>
      </c>
      <c r="M172" s="66" t="str">
        <f t="shared" si="11"/>
        <v>UNPAID</v>
      </c>
    </row>
    <row r="173" spans="1:13" x14ac:dyDescent="0.3">
      <c r="A173" s="66">
        <f>'STUDENT DETAILS'!A170</f>
        <v>0</v>
      </c>
      <c r="B173" s="66">
        <f>'STUDENT DETAILS'!B170</f>
        <v>0</v>
      </c>
      <c r="C173" s="66">
        <f>'STUDENT DETAILS'!C170</f>
        <v>0</v>
      </c>
      <c r="D173" s="66">
        <f>'STUDENT DETAILS'!D170</f>
        <v>0</v>
      </c>
      <c r="E173" s="94">
        <f>'STUDENT DETAILS'!E170</f>
        <v>0</v>
      </c>
      <c r="F173" s="66" t="b">
        <f t="shared" si="8"/>
        <v>0</v>
      </c>
      <c r="G173" s="66"/>
      <c r="H173" s="66"/>
      <c r="I173" s="66"/>
      <c r="J173" s="66"/>
      <c r="K173" s="66">
        <f t="shared" si="9"/>
        <v>0</v>
      </c>
      <c r="L173" s="66">
        <f t="shared" si="10"/>
        <v>0</v>
      </c>
      <c r="M173" s="66" t="str">
        <f t="shared" si="11"/>
        <v>UNPAID</v>
      </c>
    </row>
    <row r="174" spans="1:13" x14ac:dyDescent="0.3">
      <c r="A174" s="66">
        <f>'STUDENT DETAILS'!A171</f>
        <v>0</v>
      </c>
      <c r="B174" s="66">
        <f>'STUDENT DETAILS'!B171</f>
        <v>0</v>
      </c>
      <c r="C174" s="66">
        <f>'STUDENT DETAILS'!C171</f>
        <v>0</v>
      </c>
      <c r="D174" s="66">
        <f>'STUDENT DETAILS'!D171</f>
        <v>0</v>
      </c>
      <c r="E174" s="94">
        <f>'STUDENT DETAILS'!E171</f>
        <v>0</v>
      </c>
      <c r="F174" s="66" t="b">
        <f t="shared" si="8"/>
        <v>0</v>
      </c>
      <c r="G174" s="66"/>
      <c r="H174" s="66"/>
      <c r="I174" s="66"/>
      <c r="J174" s="66"/>
      <c r="K174" s="66">
        <f t="shared" si="9"/>
        <v>0</v>
      </c>
      <c r="L174" s="66">
        <f t="shared" si="10"/>
        <v>0</v>
      </c>
      <c r="M174" s="66" t="str">
        <f t="shared" si="11"/>
        <v>UNPAID</v>
      </c>
    </row>
    <row r="175" spans="1:13" x14ac:dyDescent="0.3">
      <c r="A175" s="66">
        <f>'STUDENT DETAILS'!A172</f>
        <v>0</v>
      </c>
      <c r="B175" s="66">
        <f>'STUDENT DETAILS'!B172</f>
        <v>0</v>
      </c>
      <c r="C175" s="66">
        <f>'STUDENT DETAILS'!C172</f>
        <v>0</v>
      </c>
      <c r="D175" s="66">
        <f>'STUDENT DETAILS'!D172</f>
        <v>0</v>
      </c>
      <c r="E175" s="94">
        <f>'STUDENT DETAILS'!E172</f>
        <v>0</v>
      </c>
      <c r="F175" s="66" t="b">
        <f t="shared" si="8"/>
        <v>0</v>
      </c>
      <c r="G175" s="66"/>
      <c r="H175" s="66"/>
      <c r="I175" s="66"/>
      <c r="J175" s="66"/>
      <c r="K175" s="66">
        <f t="shared" si="9"/>
        <v>0</v>
      </c>
      <c r="L175" s="66">
        <f t="shared" si="10"/>
        <v>0</v>
      </c>
      <c r="M175" s="66" t="str">
        <f t="shared" si="11"/>
        <v>UNPAID</v>
      </c>
    </row>
    <row r="176" spans="1:13" x14ac:dyDescent="0.3">
      <c r="A176" s="66">
        <f>'STUDENT DETAILS'!A173</f>
        <v>0</v>
      </c>
      <c r="B176" s="66">
        <f>'STUDENT DETAILS'!B173</f>
        <v>0</v>
      </c>
      <c r="C176" s="66">
        <f>'STUDENT DETAILS'!C173</f>
        <v>0</v>
      </c>
      <c r="D176" s="66">
        <f>'STUDENT DETAILS'!D173</f>
        <v>0</v>
      </c>
      <c r="E176" s="94">
        <f>'STUDENT DETAILS'!E173</f>
        <v>0</v>
      </c>
      <c r="F176" s="66" t="b">
        <f t="shared" si="8"/>
        <v>0</v>
      </c>
      <c r="G176" s="66"/>
      <c r="H176" s="66"/>
      <c r="I176" s="66"/>
      <c r="J176" s="66"/>
      <c r="K176" s="66">
        <f t="shared" si="9"/>
        <v>0</v>
      </c>
      <c r="L176" s="66">
        <f t="shared" si="10"/>
        <v>0</v>
      </c>
      <c r="M176" s="66" t="str">
        <f t="shared" si="11"/>
        <v>UNPAID</v>
      </c>
    </row>
    <row r="177" spans="1:13" x14ac:dyDescent="0.3">
      <c r="A177" s="66">
        <f>'STUDENT DETAILS'!A174</f>
        <v>0</v>
      </c>
      <c r="B177" s="66">
        <f>'STUDENT DETAILS'!B174</f>
        <v>0</v>
      </c>
      <c r="C177" s="66">
        <f>'STUDENT DETAILS'!C174</f>
        <v>0</v>
      </c>
      <c r="D177" s="66">
        <f>'STUDENT DETAILS'!D174</f>
        <v>0</v>
      </c>
      <c r="E177" s="94">
        <f>'STUDENT DETAILS'!E174</f>
        <v>0</v>
      </c>
      <c r="F177" s="66" t="b">
        <f t="shared" si="8"/>
        <v>0</v>
      </c>
      <c r="G177" s="66"/>
      <c r="H177" s="66"/>
      <c r="I177" s="66"/>
      <c r="J177" s="66"/>
      <c r="K177" s="66">
        <f t="shared" si="9"/>
        <v>0</v>
      </c>
      <c r="L177" s="66">
        <f t="shared" si="10"/>
        <v>0</v>
      </c>
      <c r="M177" s="66" t="str">
        <f t="shared" si="11"/>
        <v>UNPAID</v>
      </c>
    </row>
    <row r="178" spans="1:13" x14ac:dyDescent="0.3">
      <c r="A178" s="66">
        <f>'STUDENT DETAILS'!A175</f>
        <v>0</v>
      </c>
      <c r="B178" s="66">
        <f>'STUDENT DETAILS'!B175</f>
        <v>0</v>
      </c>
      <c r="C178" s="66">
        <f>'STUDENT DETAILS'!C175</f>
        <v>0</v>
      </c>
      <c r="D178" s="66">
        <f>'STUDENT DETAILS'!D175</f>
        <v>0</v>
      </c>
      <c r="E178" s="94">
        <f>'STUDENT DETAILS'!E175</f>
        <v>0</v>
      </c>
      <c r="F178" s="66" t="b">
        <f t="shared" si="8"/>
        <v>0</v>
      </c>
      <c r="G178" s="66"/>
      <c r="H178" s="66"/>
      <c r="I178" s="66"/>
      <c r="J178" s="66"/>
      <c r="K178" s="66">
        <f t="shared" si="9"/>
        <v>0</v>
      </c>
      <c r="L178" s="66">
        <f t="shared" si="10"/>
        <v>0</v>
      </c>
      <c r="M178" s="66" t="str">
        <f t="shared" si="11"/>
        <v>UNPAID</v>
      </c>
    </row>
    <row r="179" spans="1:13" x14ac:dyDescent="0.3">
      <c r="A179" s="66">
        <f>'STUDENT DETAILS'!A176</f>
        <v>0</v>
      </c>
      <c r="B179" s="66">
        <f>'STUDENT DETAILS'!B176</f>
        <v>0</v>
      </c>
      <c r="C179" s="66">
        <f>'STUDENT DETAILS'!C176</f>
        <v>0</v>
      </c>
      <c r="D179" s="66">
        <f>'STUDENT DETAILS'!D176</f>
        <v>0</v>
      </c>
      <c r="E179" s="94">
        <f>'STUDENT DETAILS'!E176</f>
        <v>0</v>
      </c>
      <c r="F179" s="66" t="b">
        <f t="shared" si="8"/>
        <v>0</v>
      </c>
      <c r="G179" s="66"/>
      <c r="H179" s="66"/>
      <c r="I179" s="66"/>
      <c r="J179" s="66"/>
      <c r="K179" s="66">
        <f t="shared" si="9"/>
        <v>0</v>
      </c>
      <c r="L179" s="66">
        <f t="shared" si="10"/>
        <v>0</v>
      </c>
      <c r="M179" s="66" t="str">
        <f t="shared" si="11"/>
        <v>UNPAID</v>
      </c>
    </row>
    <row r="180" spans="1:13" x14ac:dyDescent="0.3">
      <c r="A180" s="66">
        <f>'STUDENT DETAILS'!A177</f>
        <v>0</v>
      </c>
      <c r="B180" s="66">
        <f>'STUDENT DETAILS'!B177</f>
        <v>0</v>
      </c>
      <c r="C180" s="66">
        <f>'STUDENT DETAILS'!C177</f>
        <v>0</v>
      </c>
      <c r="D180" s="66">
        <f>'STUDENT DETAILS'!D177</f>
        <v>0</v>
      </c>
      <c r="E180" s="94">
        <f>'STUDENT DETAILS'!E177</f>
        <v>0</v>
      </c>
      <c r="F180" s="66" t="b">
        <f t="shared" si="8"/>
        <v>0</v>
      </c>
      <c r="G180" s="66"/>
      <c r="H180" s="66"/>
      <c r="I180" s="66"/>
      <c r="J180" s="66"/>
      <c r="K180" s="66">
        <f t="shared" si="9"/>
        <v>0</v>
      </c>
      <c r="L180" s="66">
        <f t="shared" si="10"/>
        <v>0</v>
      </c>
      <c r="M180" s="66" t="str">
        <f t="shared" si="11"/>
        <v>UNPAID</v>
      </c>
    </row>
    <row r="181" spans="1:13" x14ac:dyDescent="0.3">
      <c r="A181" s="66">
        <f>'STUDENT DETAILS'!A178</f>
        <v>0</v>
      </c>
      <c r="B181" s="66">
        <f>'STUDENT DETAILS'!B178</f>
        <v>0</v>
      </c>
      <c r="C181" s="66">
        <f>'STUDENT DETAILS'!C178</f>
        <v>0</v>
      </c>
      <c r="D181" s="66">
        <f>'STUDENT DETAILS'!D178</f>
        <v>0</v>
      </c>
      <c r="E181" s="94">
        <f>'STUDENT DETAILS'!E178</f>
        <v>0</v>
      </c>
      <c r="F181" s="66" t="b">
        <f t="shared" si="8"/>
        <v>0</v>
      </c>
      <c r="G181" s="66"/>
      <c r="H181" s="66"/>
      <c r="I181" s="66"/>
      <c r="J181" s="66"/>
      <c r="K181" s="66">
        <f t="shared" si="9"/>
        <v>0</v>
      </c>
      <c r="L181" s="66">
        <f t="shared" si="10"/>
        <v>0</v>
      </c>
      <c r="M181" s="66" t="str">
        <f t="shared" si="11"/>
        <v>UNPAID</v>
      </c>
    </row>
    <row r="182" spans="1:13" x14ac:dyDescent="0.3">
      <c r="A182" s="66">
        <f>'STUDENT DETAILS'!A179</f>
        <v>0</v>
      </c>
      <c r="B182" s="66">
        <f>'STUDENT DETAILS'!B179</f>
        <v>0</v>
      </c>
      <c r="C182" s="66">
        <f>'STUDENT DETAILS'!C179</f>
        <v>0</v>
      </c>
      <c r="D182" s="66">
        <f>'STUDENT DETAILS'!D179</f>
        <v>0</v>
      </c>
      <c r="E182" s="94">
        <f>'STUDENT DETAILS'!E179</f>
        <v>0</v>
      </c>
      <c r="F182" s="66" t="b">
        <f t="shared" si="8"/>
        <v>0</v>
      </c>
      <c r="G182" s="66"/>
      <c r="H182" s="66"/>
      <c r="I182" s="66"/>
      <c r="J182" s="66"/>
      <c r="K182" s="66">
        <f t="shared" si="9"/>
        <v>0</v>
      </c>
      <c r="L182" s="66">
        <f t="shared" si="10"/>
        <v>0</v>
      </c>
      <c r="M182" s="66" t="str">
        <f t="shared" si="11"/>
        <v>UNPAID</v>
      </c>
    </row>
    <row r="183" spans="1:13" x14ac:dyDescent="0.3">
      <c r="A183" s="66">
        <f>'STUDENT DETAILS'!A180</f>
        <v>0</v>
      </c>
      <c r="B183" s="66">
        <f>'STUDENT DETAILS'!B180</f>
        <v>0</v>
      </c>
      <c r="C183" s="66">
        <f>'STUDENT DETAILS'!C180</f>
        <v>0</v>
      </c>
      <c r="D183" s="66">
        <f>'STUDENT DETAILS'!D180</f>
        <v>0</v>
      </c>
      <c r="E183" s="94">
        <f>'STUDENT DETAILS'!E180</f>
        <v>0</v>
      </c>
      <c r="F183" s="66" t="b">
        <f t="shared" si="8"/>
        <v>0</v>
      </c>
      <c r="G183" s="66"/>
      <c r="H183" s="66"/>
      <c r="I183" s="66"/>
      <c r="J183" s="66"/>
      <c r="K183" s="66">
        <f t="shared" si="9"/>
        <v>0</v>
      </c>
      <c r="L183" s="66">
        <f t="shared" si="10"/>
        <v>0</v>
      </c>
      <c r="M183" s="66" t="str">
        <f t="shared" si="11"/>
        <v>UNPAID</v>
      </c>
    </row>
    <row r="184" spans="1:13" x14ac:dyDescent="0.3">
      <c r="A184" s="66">
        <f>'STUDENT DETAILS'!A181</f>
        <v>0</v>
      </c>
      <c r="B184" s="66">
        <f>'STUDENT DETAILS'!B181</f>
        <v>0</v>
      </c>
      <c r="C184" s="66">
        <f>'STUDENT DETAILS'!C181</f>
        <v>0</v>
      </c>
      <c r="D184" s="66">
        <f>'STUDENT DETAILS'!D181</f>
        <v>0</v>
      </c>
      <c r="E184" s="94">
        <f>'STUDENT DETAILS'!E181</f>
        <v>0</v>
      </c>
      <c r="F184" s="66" t="b">
        <f t="shared" si="8"/>
        <v>0</v>
      </c>
      <c r="G184" s="66"/>
      <c r="H184" s="66"/>
      <c r="I184" s="66"/>
      <c r="J184" s="66"/>
      <c r="K184" s="66">
        <f t="shared" si="9"/>
        <v>0</v>
      </c>
      <c r="L184" s="66">
        <f t="shared" si="10"/>
        <v>0</v>
      </c>
      <c r="M184" s="66" t="str">
        <f t="shared" si="11"/>
        <v>UNPAID</v>
      </c>
    </row>
    <row r="185" spans="1:13" x14ac:dyDescent="0.3">
      <c r="A185" s="66">
        <f>'STUDENT DETAILS'!A182</f>
        <v>0</v>
      </c>
      <c r="B185" s="66">
        <f>'STUDENT DETAILS'!B182</f>
        <v>0</v>
      </c>
      <c r="C185" s="66">
        <f>'STUDENT DETAILS'!C182</f>
        <v>0</v>
      </c>
      <c r="D185" s="66">
        <f>'STUDENT DETAILS'!D182</f>
        <v>0</v>
      </c>
      <c r="E185" s="94">
        <f>'STUDENT DETAILS'!E182</f>
        <v>0</v>
      </c>
      <c r="F185" s="66" t="b">
        <f t="shared" si="8"/>
        <v>0</v>
      </c>
      <c r="G185" s="66"/>
      <c r="H185" s="66"/>
      <c r="I185" s="66"/>
      <c r="J185" s="66"/>
      <c r="K185" s="66">
        <f t="shared" si="9"/>
        <v>0</v>
      </c>
      <c r="L185" s="66">
        <f t="shared" si="10"/>
        <v>0</v>
      </c>
      <c r="M185" s="66" t="str">
        <f t="shared" si="11"/>
        <v>UNPAID</v>
      </c>
    </row>
    <row r="186" spans="1:13" x14ac:dyDescent="0.3">
      <c r="A186" s="66">
        <f>'STUDENT DETAILS'!A183</f>
        <v>0</v>
      </c>
      <c r="B186" s="66">
        <f>'STUDENT DETAILS'!B183</f>
        <v>0</v>
      </c>
      <c r="C186" s="66">
        <f>'STUDENT DETAILS'!C183</f>
        <v>0</v>
      </c>
      <c r="D186" s="66">
        <f>'STUDENT DETAILS'!D183</f>
        <v>0</v>
      </c>
      <c r="E186" s="94">
        <f>'STUDENT DETAILS'!E183</f>
        <v>0</v>
      </c>
      <c r="F186" s="66" t="b">
        <f t="shared" si="8"/>
        <v>0</v>
      </c>
      <c r="G186" s="66"/>
      <c r="H186" s="66"/>
      <c r="I186" s="66"/>
      <c r="J186" s="66"/>
      <c r="K186" s="66">
        <f t="shared" si="9"/>
        <v>0</v>
      </c>
      <c r="L186" s="66">
        <f t="shared" si="10"/>
        <v>0</v>
      </c>
      <c r="M186" s="66" t="str">
        <f t="shared" si="11"/>
        <v>UNPAID</v>
      </c>
    </row>
    <row r="187" spans="1:13" x14ac:dyDescent="0.3">
      <c r="A187" s="66">
        <f>'STUDENT DETAILS'!A184</f>
        <v>0</v>
      </c>
      <c r="B187" s="66">
        <f>'STUDENT DETAILS'!B184</f>
        <v>0</v>
      </c>
      <c r="C187" s="66">
        <f>'STUDENT DETAILS'!C184</f>
        <v>0</v>
      </c>
      <c r="D187" s="66">
        <f>'STUDENT DETAILS'!D184</f>
        <v>0</v>
      </c>
      <c r="E187" s="94">
        <f>'STUDENT DETAILS'!E184</f>
        <v>0</v>
      </c>
      <c r="F187" s="66" t="b">
        <f t="shared" si="8"/>
        <v>0</v>
      </c>
      <c r="G187" s="66"/>
      <c r="H187" s="66"/>
      <c r="I187" s="66"/>
      <c r="J187" s="66"/>
      <c r="K187" s="66">
        <f t="shared" si="9"/>
        <v>0</v>
      </c>
      <c r="L187" s="66">
        <f t="shared" si="10"/>
        <v>0</v>
      </c>
      <c r="M187" s="66" t="str">
        <f t="shared" si="11"/>
        <v>UNPAID</v>
      </c>
    </row>
    <row r="188" spans="1:13" x14ac:dyDescent="0.3">
      <c r="A188" s="66">
        <f>'STUDENT DETAILS'!A185</f>
        <v>0</v>
      </c>
      <c r="B188" s="66">
        <f>'STUDENT DETAILS'!B185</f>
        <v>0</v>
      </c>
      <c r="C188" s="66">
        <f>'STUDENT DETAILS'!C185</f>
        <v>0</v>
      </c>
      <c r="D188" s="66">
        <f>'STUDENT DETAILS'!D185</f>
        <v>0</v>
      </c>
      <c r="E188" s="94">
        <f>'STUDENT DETAILS'!E185</f>
        <v>0</v>
      </c>
      <c r="F188" s="66" t="b">
        <f t="shared" si="8"/>
        <v>0</v>
      </c>
      <c r="G188" s="66"/>
      <c r="H188" s="66"/>
      <c r="I188" s="66"/>
      <c r="J188" s="66"/>
      <c r="K188" s="66">
        <f t="shared" si="9"/>
        <v>0</v>
      </c>
      <c r="L188" s="66">
        <f t="shared" si="10"/>
        <v>0</v>
      </c>
      <c r="M188" s="66" t="str">
        <f t="shared" si="11"/>
        <v>UNPAID</v>
      </c>
    </row>
    <row r="189" spans="1:13" x14ac:dyDescent="0.3">
      <c r="A189" s="66">
        <f>'STUDENT DETAILS'!A186</f>
        <v>0</v>
      </c>
      <c r="B189" s="66">
        <f>'STUDENT DETAILS'!B186</f>
        <v>0</v>
      </c>
      <c r="C189" s="66">
        <f>'STUDENT DETAILS'!C186</f>
        <v>0</v>
      </c>
      <c r="D189" s="66">
        <f>'STUDENT DETAILS'!D186</f>
        <v>0</v>
      </c>
      <c r="E189" s="94">
        <f>'STUDENT DETAILS'!E186</f>
        <v>0</v>
      </c>
      <c r="F189" s="66" t="b">
        <f t="shared" si="8"/>
        <v>0</v>
      </c>
      <c r="G189" s="66"/>
      <c r="H189" s="66"/>
      <c r="I189" s="66"/>
      <c r="J189" s="66"/>
      <c r="K189" s="66">
        <f t="shared" si="9"/>
        <v>0</v>
      </c>
      <c r="L189" s="66">
        <f t="shared" si="10"/>
        <v>0</v>
      </c>
      <c r="M189" s="66" t="str">
        <f t="shared" si="11"/>
        <v>UNPAID</v>
      </c>
    </row>
    <row r="190" spans="1:13" x14ac:dyDescent="0.3">
      <c r="A190" s="66">
        <f>'STUDENT DETAILS'!A187</f>
        <v>0</v>
      </c>
      <c r="B190" s="66">
        <f>'STUDENT DETAILS'!B187</f>
        <v>0</v>
      </c>
      <c r="C190" s="66">
        <f>'STUDENT DETAILS'!C187</f>
        <v>0</v>
      </c>
      <c r="D190" s="66">
        <f>'STUDENT DETAILS'!D187</f>
        <v>0</v>
      </c>
      <c r="E190" s="94">
        <f>'STUDENT DETAILS'!E187</f>
        <v>0</v>
      </c>
      <c r="F190" s="66" t="b">
        <f t="shared" si="8"/>
        <v>0</v>
      </c>
      <c r="G190" s="66"/>
      <c r="H190" s="66"/>
      <c r="I190" s="66"/>
      <c r="J190" s="66"/>
      <c r="K190" s="66">
        <f t="shared" si="9"/>
        <v>0</v>
      </c>
      <c r="L190" s="66">
        <f t="shared" si="10"/>
        <v>0</v>
      </c>
      <c r="M190" s="66" t="str">
        <f t="shared" si="11"/>
        <v>UNPAID</v>
      </c>
    </row>
    <row r="191" spans="1:13" x14ac:dyDescent="0.3">
      <c r="A191" s="66">
        <f>'STUDENT DETAILS'!A188</f>
        <v>0</v>
      </c>
      <c r="B191" s="66">
        <f>'STUDENT DETAILS'!B188</f>
        <v>0</v>
      </c>
      <c r="C191" s="66">
        <f>'STUDENT DETAILS'!C188</f>
        <v>0</v>
      </c>
      <c r="D191" s="66">
        <f>'STUDENT DETAILS'!D188</f>
        <v>0</v>
      </c>
      <c r="E191" s="94">
        <f>'STUDENT DETAILS'!E188</f>
        <v>0</v>
      </c>
      <c r="F191" s="66" t="b">
        <f t="shared" si="8"/>
        <v>0</v>
      </c>
      <c r="G191" s="66"/>
      <c r="H191" s="66"/>
      <c r="I191" s="66"/>
      <c r="J191" s="66"/>
      <c r="K191" s="66">
        <f t="shared" si="9"/>
        <v>0</v>
      </c>
      <c r="L191" s="66">
        <f t="shared" si="10"/>
        <v>0</v>
      </c>
      <c r="M191" s="66" t="str">
        <f t="shared" si="11"/>
        <v>UNPAID</v>
      </c>
    </row>
    <row r="192" spans="1:13" x14ac:dyDescent="0.3">
      <c r="A192" s="66">
        <f>'STUDENT DETAILS'!A189</f>
        <v>0</v>
      </c>
      <c r="B192" s="66">
        <f>'STUDENT DETAILS'!B189</f>
        <v>0</v>
      </c>
      <c r="C192" s="66">
        <f>'STUDENT DETAILS'!C189</f>
        <v>0</v>
      </c>
      <c r="D192" s="66">
        <f>'STUDENT DETAILS'!D189</f>
        <v>0</v>
      </c>
      <c r="E192" s="94">
        <f>'STUDENT DETAILS'!E189</f>
        <v>0</v>
      </c>
      <c r="F192" s="66" t="b">
        <f t="shared" si="8"/>
        <v>0</v>
      </c>
      <c r="G192" s="66"/>
      <c r="H192" s="66"/>
      <c r="I192" s="66"/>
      <c r="J192" s="66"/>
      <c r="K192" s="66">
        <f t="shared" si="9"/>
        <v>0</v>
      </c>
      <c r="L192" s="66">
        <f t="shared" si="10"/>
        <v>0</v>
      </c>
      <c r="M192" s="66" t="str">
        <f t="shared" si="11"/>
        <v>UNPAID</v>
      </c>
    </row>
    <row r="193" spans="1:13" x14ac:dyDescent="0.3">
      <c r="A193" s="66">
        <f>'STUDENT DETAILS'!A190</f>
        <v>0</v>
      </c>
      <c r="B193" s="66">
        <f>'STUDENT DETAILS'!B190</f>
        <v>0</v>
      </c>
      <c r="C193" s="66">
        <f>'STUDENT DETAILS'!C190</f>
        <v>0</v>
      </c>
      <c r="D193" s="66">
        <f>'STUDENT DETAILS'!D190</f>
        <v>0</v>
      </c>
      <c r="E193" s="94">
        <f>'STUDENT DETAILS'!E190</f>
        <v>0</v>
      </c>
      <c r="F193" s="66" t="b">
        <f t="shared" si="8"/>
        <v>0</v>
      </c>
      <c r="G193" s="66"/>
      <c r="H193" s="66"/>
      <c r="I193" s="66"/>
      <c r="J193" s="66"/>
      <c r="K193" s="66">
        <f t="shared" si="9"/>
        <v>0</v>
      </c>
      <c r="L193" s="66">
        <f t="shared" si="10"/>
        <v>0</v>
      </c>
      <c r="M193" s="66" t="str">
        <f t="shared" si="11"/>
        <v>UNPAID</v>
      </c>
    </row>
    <row r="194" spans="1:13" x14ac:dyDescent="0.3">
      <c r="A194" s="66">
        <f>'STUDENT DETAILS'!A191</f>
        <v>0</v>
      </c>
      <c r="B194" s="66">
        <f>'STUDENT DETAILS'!B191</f>
        <v>0</v>
      </c>
      <c r="C194" s="66">
        <f>'STUDENT DETAILS'!C191</f>
        <v>0</v>
      </c>
      <c r="D194" s="66">
        <f>'STUDENT DETAILS'!D191</f>
        <v>0</v>
      </c>
      <c r="E194" s="94">
        <f>'STUDENT DETAILS'!E191</f>
        <v>0</v>
      </c>
      <c r="F194" s="66" t="b">
        <f t="shared" si="8"/>
        <v>0</v>
      </c>
      <c r="G194" s="66"/>
      <c r="H194" s="66"/>
      <c r="I194" s="66"/>
      <c r="J194" s="66"/>
      <c r="K194" s="66">
        <f t="shared" si="9"/>
        <v>0</v>
      </c>
      <c r="L194" s="66">
        <f t="shared" si="10"/>
        <v>0</v>
      </c>
      <c r="M194" s="66" t="str">
        <f t="shared" si="11"/>
        <v>UNPAID</v>
      </c>
    </row>
    <row r="195" spans="1:13" x14ac:dyDescent="0.3">
      <c r="A195" s="66">
        <f>'STUDENT DETAILS'!A192</f>
        <v>0</v>
      </c>
      <c r="B195" s="66">
        <f>'STUDENT DETAILS'!B192</f>
        <v>0</v>
      </c>
      <c r="C195" s="66">
        <f>'STUDENT DETAILS'!C192</f>
        <v>0</v>
      </c>
      <c r="D195" s="66">
        <f>'STUDENT DETAILS'!D192</f>
        <v>0</v>
      </c>
      <c r="E195" s="94">
        <f>'STUDENT DETAILS'!E192</f>
        <v>0</v>
      </c>
      <c r="F195" s="66" t="b">
        <f t="shared" si="8"/>
        <v>0</v>
      </c>
      <c r="G195" s="66"/>
      <c r="H195" s="66"/>
      <c r="I195" s="66"/>
      <c r="J195" s="66"/>
      <c r="K195" s="66">
        <f t="shared" si="9"/>
        <v>0</v>
      </c>
      <c r="L195" s="66">
        <f t="shared" si="10"/>
        <v>0</v>
      </c>
      <c r="M195" s="66" t="str">
        <f t="shared" si="11"/>
        <v>UNPAID</v>
      </c>
    </row>
    <row r="196" spans="1:13" x14ac:dyDescent="0.3">
      <c r="A196" s="66">
        <f>'STUDENT DETAILS'!A193</f>
        <v>0</v>
      </c>
      <c r="B196" s="66">
        <f>'STUDENT DETAILS'!B193</f>
        <v>0</v>
      </c>
      <c r="C196" s="66">
        <f>'STUDENT DETAILS'!C193</f>
        <v>0</v>
      </c>
      <c r="D196" s="66">
        <f>'STUDENT DETAILS'!D193</f>
        <v>0</v>
      </c>
      <c r="E196" s="94">
        <f>'STUDENT DETAILS'!E193</f>
        <v>0</v>
      </c>
      <c r="F196" s="66" t="b">
        <f t="shared" si="8"/>
        <v>0</v>
      </c>
      <c r="G196" s="66"/>
      <c r="H196" s="66"/>
      <c r="I196" s="66"/>
      <c r="J196" s="66"/>
      <c r="K196" s="66">
        <f t="shared" si="9"/>
        <v>0</v>
      </c>
      <c r="L196" s="66">
        <f t="shared" si="10"/>
        <v>0</v>
      </c>
      <c r="M196" s="66" t="str">
        <f t="shared" si="11"/>
        <v>UNPAID</v>
      </c>
    </row>
    <row r="197" spans="1:13" x14ac:dyDescent="0.3">
      <c r="A197" s="66">
        <f>'STUDENT DETAILS'!A194</f>
        <v>0</v>
      </c>
      <c r="B197" s="66">
        <f>'STUDENT DETAILS'!B194</f>
        <v>0</v>
      </c>
      <c r="C197" s="66">
        <f>'STUDENT DETAILS'!C194</f>
        <v>0</v>
      </c>
      <c r="D197" s="66">
        <f>'STUDENT DETAILS'!D194</f>
        <v>0</v>
      </c>
      <c r="E197" s="94">
        <f>'STUDENT DETAILS'!E194</f>
        <v>0</v>
      </c>
      <c r="F197" s="66" t="b">
        <f t="shared" si="8"/>
        <v>0</v>
      </c>
      <c r="G197" s="66"/>
      <c r="H197" s="66"/>
      <c r="I197" s="66"/>
      <c r="J197" s="66"/>
      <c r="K197" s="66">
        <f t="shared" si="9"/>
        <v>0</v>
      </c>
      <c r="L197" s="66">
        <f t="shared" si="10"/>
        <v>0</v>
      </c>
      <c r="M197" s="66" t="str">
        <f t="shared" si="11"/>
        <v>UNPAID</v>
      </c>
    </row>
    <row r="198" spans="1:13" x14ac:dyDescent="0.3">
      <c r="A198" s="66">
        <f>'STUDENT DETAILS'!A195</f>
        <v>0</v>
      </c>
      <c r="B198" s="66">
        <f>'STUDENT DETAILS'!B195</f>
        <v>0</v>
      </c>
      <c r="C198" s="66">
        <f>'STUDENT DETAILS'!C195</f>
        <v>0</v>
      </c>
      <c r="D198" s="66">
        <f>'STUDENT DETAILS'!D195</f>
        <v>0</v>
      </c>
      <c r="E198" s="94">
        <f>'STUDENT DETAILS'!E195</f>
        <v>0</v>
      </c>
      <c r="F198" s="66" t="b">
        <f t="shared" si="8"/>
        <v>0</v>
      </c>
      <c r="G198" s="66"/>
      <c r="H198" s="66"/>
      <c r="I198" s="66"/>
      <c r="J198" s="66"/>
      <c r="K198" s="66">
        <f t="shared" si="9"/>
        <v>0</v>
      </c>
      <c r="L198" s="66">
        <f t="shared" si="10"/>
        <v>0</v>
      </c>
      <c r="M198" s="66" t="str">
        <f t="shared" si="11"/>
        <v>UNPAID</v>
      </c>
    </row>
    <row r="199" spans="1:13" x14ac:dyDescent="0.3">
      <c r="A199" s="66">
        <f>'STUDENT DETAILS'!A196</f>
        <v>0</v>
      </c>
      <c r="B199" s="66">
        <f>'STUDENT DETAILS'!B196</f>
        <v>0</v>
      </c>
      <c r="C199" s="66">
        <f>'STUDENT DETAILS'!C196</f>
        <v>0</v>
      </c>
      <c r="D199" s="66">
        <f>'STUDENT DETAILS'!D196</f>
        <v>0</v>
      </c>
      <c r="E199" s="94">
        <f>'STUDENT DETAILS'!E196</f>
        <v>0</v>
      </c>
      <c r="F199" s="66" t="b">
        <f t="shared" ref="F199:F262" si="12">IF(C199="LKG",2000,IF(C199="HKG",3000,IF(C199="1st",4000,IF(C199="2nd",5000,IF(C199="3rd",6000,IF(C199="4th",7000,IF(C199="5th",8000,IF(C199="6th",9000,IF(C199="7th",10000,IF(C199="8th",10500,IF(C199="9th",10700,IF(C199="10th",11000,IF(C199="",0)))))))))))))</f>
        <v>0</v>
      </c>
      <c r="G199" s="66"/>
      <c r="H199" s="66"/>
      <c r="I199" s="66"/>
      <c r="J199" s="66"/>
      <c r="K199" s="66">
        <f t="shared" ref="K199:K262" si="13">SUM(G199:J199)</f>
        <v>0</v>
      </c>
      <c r="L199" s="66">
        <f t="shared" ref="L199:L262" si="14">F199-K199</f>
        <v>0</v>
      </c>
      <c r="M199" s="66" t="str">
        <f t="shared" ref="M199:M262" si="15">IF(K199&gt;=F199,"COMPLETED","UNPAID")</f>
        <v>UNPAID</v>
      </c>
    </row>
    <row r="200" spans="1:13" x14ac:dyDescent="0.3">
      <c r="A200" s="66">
        <f>'STUDENT DETAILS'!A197</f>
        <v>0</v>
      </c>
      <c r="B200" s="66">
        <f>'STUDENT DETAILS'!B197</f>
        <v>0</v>
      </c>
      <c r="C200" s="66">
        <f>'STUDENT DETAILS'!C197</f>
        <v>0</v>
      </c>
      <c r="D200" s="66">
        <f>'STUDENT DETAILS'!D197</f>
        <v>0</v>
      </c>
      <c r="E200" s="94">
        <f>'STUDENT DETAILS'!E197</f>
        <v>0</v>
      </c>
      <c r="F200" s="66" t="b">
        <f t="shared" si="12"/>
        <v>0</v>
      </c>
      <c r="G200" s="66"/>
      <c r="H200" s="66"/>
      <c r="I200" s="66"/>
      <c r="J200" s="66"/>
      <c r="K200" s="66">
        <f t="shared" si="13"/>
        <v>0</v>
      </c>
      <c r="L200" s="66">
        <f t="shared" si="14"/>
        <v>0</v>
      </c>
      <c r="M200" s="66" t="str">
        <f t="shared" si="15"/>
        <v>UNPAID</v>
      </c>
    </row>
    <row r="201" spans="1:13" x14ac:dyDescent="0.3">
      <c r="A201" s="66">
        <f>'STUDENT DETAILS'!A198</f>
        <v>0</v>
      </c>
      <c r="B201" s="66">
        <f>'STUDENT DETAILS'!B198</f>
        <v>0</v>
      </c>
      <c r="C201" s="66">
        <f>'STUDENT DETAILS'!C198</f>
        <v>0</v>
      </c>
      <c r="D201" s="66">
        <f>'STUDENT DETAILS'!D198</f>
        <v>0</v>
      </c>
      <c r="E201" s="94">
        <f>'STUDENT DETAILS'!E198</f>
        <v>0</v>
      </c>
      <c r="F201" s="66" t="b">
        <f t="shared" si="12"/>
        <v>0</v>
      </c>
      <c r="G201" s="66"/>
      <c r="H201" s="66"/>
      <c r="I201" s="66"/>
      <c r="J201" s="66"/>
      <c r="K201" s="66">
        <f t="shared" si="13"/>
        <v>0</v>
      </c>
      <c r="L201" s="66">
        <f t="shared" si="14"/>
        <v>0</v>
      </c>
      <c r="M201" s="66" t="str">
        <f t="shared" si="15"/>
        <v>UNPAID</v>
      </c>
    </row>
    <row r="202" spans="1:13" x14ac:dyDescent="0.3">
      <c r="A202" s="66">
        <f>'STUDENT DETAILS'!A199</f>
        <v>0</v>
      </c>
      <c r="B202" s="66">
        <f>'STUDENT DETAILS'!B199</f>
        <v>0</v>
      </c>
      <c r="C202" s="66">
        <f>'STUDENT DETAILS'!C199</f>
        <v>0</v>
      </c>
      <c r="D202" s="66">
        <f>'STUDENT DETAILS'!D199</f>
        <v>0</v>
      </c>
      <c r="E202" s="94">
        <f>'STUDENT DETAILS'!E199</f>
        <v>0</v>
      </c>
      <c r="F202" s="66" t="b">
        <f t="shared" si="12"/>
        <v>0</v>
      </c>
      <c r="G202" s="66"/>
      <c r="H202" s="66"/>
      <c r="I202" s="66"/>
      <c r="J202" s="66"/>
      <c r="K202" s="66">
        <f t="shared" si="13"/>
        <v>0</v>
      </c>
      <c r="L202" s="66">
        <f t="shared" si="14"/>
        <v>0</v>
      </c>
      <c r="M202" s="66" t="str">
        <f t="shared" si="15"/>
        <v>UNPAID</v>
      </c>
    </row>
    <row r="203" spans="1:13" x14ac:dyDescent="0.3">
      <c r="A203" s="66">
        <f>'STUDENT DETAILS'!A200</f>
        <v>0</v>
      </c>
      <c r="B203" s="66">
        <f>'STUDENT DETAILS'!B200</f>
        <v>0</v>
      </c>
      <c r="C203" s="66">
        <f>'STUDENT DETAILS'!C200</f>
        <v>0</v>
      </c>
      <c r="D203" s="66">
        <f>'STUDENT DETAILS'!D200</f>
        <v>0</v>
      </c>
      <c r="E203" s="94">
        <f>'STUDENT DETAILS'!E200</f>
        <v>0</v>
      </c>
      <c r="F203" s="66" t="b">
        <f t="shared" si="12"/>
        <v>0</v>
      </c>
      <c r="G203" s="66"/>
      <c r="H203" s="66"/>
      <c r="I203" s="66"/>
      <c r="J203" s="66"/>
      <c r="K203" s="66">
        <f t="shared" si="13"/>
        <v>0</v>
      </c>
      <c r="L203" s="66">
        <f t="shared" si="14"/>
        <v>0</v>
      </c>
      <c r="M203" s="66" t="str">
        <f t="shared" si="15"/>
        <v>UNPAID</v>
      </c>
    </row>
    <row r="204" spans="1:13" x14ac:dyDescent="0.3">
      <c r="A204" s="66">
        <f>'STUDENT DETAILS'!A201</f>
        <v>0</v>
      </c>
      <c r="B204" s="66">
        <f>'STUDENT DETAILS'!B201</f>
        <v>0</v>
      </c>
      <c r="C204" s="66">
        <f>'STUDENT DETAILS'!C201</f>
        <v>0</v>
      </c>
      <c r="D204" s="66">
        <f>'STUDENT DETAILS'!D201</f>
        <v>0</v>
      </c>
      <c r="E204" s="94">
        <f>'STUDENT DETAILS'!E201</f>
        <v>0</v>
      </c>
      <c r="F204" s="66" t="b">
        <f t="shared" si="12"/>
        <v>0</v>
      </c>
      <c r="G204" s="66"/>
      <c r="H204" s="66"/>
      <c r="I204" s="66"/>
      <c r="J204" s="66"/>
      <c r="K204" s="66">
        <f t="shared" si="13"/>
        <v>0</v>
      </c>
      <c r="L204" s="66">
        <f t="shared" si="14"/>
        <v>0</v>
      </c>
      <c r="M204" s="66" t="str">
        <f t="shared" si="15"/>
        <v>UNPAID</v>
      </c>
    </row>
    <row r="205" spans="1:13" x14ac:dyDescent="0.3">
      <c r="A205" s="66">
        <f>'STUDENT DETAILS'!A202</f>
        <v>0</v>
      </c>
      <c r="B205" s="66">
        <f>'STUDENT DETAILS'!B202</f>
        <v>0</v>
      </c>
      <c r="C205" s="66">
        <f>'STUDENT DETAILS'!C202</f>
        <v>0</v>
      </c>
      <c r="D205" s="66">
        <f>'STUDENT DETAILS'!D202</f>
        <v>0</v>
      </c>
      <c r="E205" s="94">
        <f>'STUDENT DETAILS'!E202</f>
        <v>0</v>
      </c>
      <c r="F205" s="66" t="b">
        <f t="shared" si="12"/>
        <v>0</v>
      </c>
      <c r="G205" s="66"/>
      <c r="H205" s="66"/>
      <c r="I205" s="66"/>
      <c r="J205" s="66"/>
      <c r="K205" s="66">
        <f t="shared" si="13"/>
        <v>0</v>
      </c>
      <c r="L205" s="66">
        <f t="shared" si="14"/>
        <v>0</v>
      </c>
      <c r="M205" s="66" t="str">
        <f t="shared" si="15"/>
        <v>UNPAID</v>
      </c>
    </row>
    <row r="206" spans="1:13" x14ac:dyDescent="0.3">
      <c r="A206" s="66">
        <f>'STUDENT DETAILS'!A203</f>
        <v>0</v>
      </c>
      <c r="B206" s="66">
        <f>'STUDENT DETAILS'!B203</f>
        <v>0</v>
      </c>
      <c r="C206" s="66">
        <f>'STUDENT DETAILS'!C203</f>
        <v>0</v>
      </c>
      <c r="D206" s="66">
        <f>'STUDENT DETAILS'!D203</f>
        <v>0</v>
      </c>
      <c r="E206" s="94">
        <f>'STUDENT DETAILS'!E203</f>
        <v>0</v>
      </c>
      <c r="F206" s="66" t="b">
        <f t="shared" si="12"/>
        <v>0</v>
      </c>
      <c r="G206" s="66"/>
      <c r="H206" s="66"/>
      <c r="I206" s="66"/>
      <c r="J206" s="66"/>
      <c r="K206" s="66">
        <f t="shared" si="13"/>
        <v>0</v>
      </c>
      <c r="L206" s="66">
        <f t="shared" si="14"/>
        <v>0</v>
      </c>
      <c r="M206" s="66" t="str">
        <f t="shared" si="15"/>
        <v>UNPAID</v>
      </c>
    </row>
    <row r="207" spans="1:13" x14ac:dyDescent="0.3">
      <c r="A207" s="66">
        <f>'STUDENT DETAILS'!A204</f>
        <v>0</v>
      </c>
      <c r="B207" s="66">
        <f>'STUDENT DETAILS'!B204</f>
        <v>0</v>
      </c>
      <c r="C207" s="66">
        <f>'STUDENT DETAILS'!C204</f>
        <v>0</v>
      </c>
      <c r="D207" s="66">
        <f>'STUDENT DETAILS'!D204</f>
        <v>0</v>
      </c>
      <c r="E207" s="94">
        <f>'STUDENT DETAILS'!E204</f>
        <v>0</v>
      </c>
      <c r="F207" s="66" t="b">
        <f t="shared" si="12"/>
        <v>0</v>
      </c>
      <c r="G207" s="66"/>
      <c r="H207" s="66"/>
      <c r="I207" s="66"/>
      <c r="J207" s="66"/>
      <c r="K207" s="66">
        <f t="shared" si="13"/>
        <v>0</v>
      </c>
      <c r="L207" s="66">
        <f t="shared" si="14"/>
        <v>0</v>
      </c>
      <c r="M207" s="66" t="str">
        <f t="shared" si="15"/>
        <v>UNPAID</v>
      </c>
    </row>
    <row r="208" spans="1:13" x14ac:dyDescent="0.3">
      <c r="A208" s="66">
        <f>'STUDENT DETAILS'!A205</f>
        <v>0</v>
      </c>
      <c r="B208" s="66">
        <f>'STUDENT DETAILS'!B205</f>
        <v>0</v>
      </c>
      <c r="C208" s="66">
        <f>'STUDENT DETAILS'!C205</f>
        <v>0</v>
      </c>
      <c r="D208" s="66">
        <f>'STUDENT DETAILS'!D205</f>
        <v>0</v>
      </c>
      <c r="E208" s="94">
        <f>'STUDENT DETAILS'!E205</f>
        <v>0</v>
      </c>
      <c r="F208" s="66" t="b">
        <f t="shared" si="12"/>
        <v>0</v>
      </c>
      <c r="G208" s="66"/>
      <c r="H208" s="66"/>
      <c r="I208" s="66"/>
      <c r="J208" s="66"/>
      <c r="K208" s="66">
        <f t="shared" si="13"/>
        <v>0</v>
      </c>
      <c r="L208" s="66">
        <f t="shared" si="14"/>
        <v>0</v>
      </c>
      <c r="M208" s="66" t="str">
        <f t="shared" si="15"/>
        <v>UNPAID</v>
      </c>
    </row>
    <row r="209" spans="1:13" x14ac:dyDescent="0.3">
      <c r="A209" s="66">
        <f>'STUDENT DETAILS'!A206</f>
        <v>0</v>
      </c>
      <c r="B209" s="66">
        <f>'STUDENT DETAILS'!B206</f>
        <v>0</v>
      </c>
      <c r="C209" s="66">
        <f>'STUDENT DETAILS'!C206</f>
        <v>0</v>
      </c>
      <c r="D209" s="66">
        <f>'STUDENT DETAILS'!D206</f>
        <v>0</v>
      </c>
      <c r="E209" s="94">
        <f>'STUDENT DETAILS'!E206</f>
        <v>0</v>
      </c>
      <c r="F209" s="66" t="b">
        <f t="shared" si="12"/>
        <v>0</v>
      </c>
      <c r="G209" s="66"/>
      <c r="H209" s="66"/>
      <c r="I209" s="66"/>
      <c r="J209" s="66"/>
      <c r="K209" s="66">
        <f t="shared" si="13"/>
        <v>0</v>
      </c>
      <c r="L209" s="66">
        <f t="shared" si="14"/>
        <v>0</v>
      </c>
      <c r="M209" s="66" t="str">
        <f t="shared" si="15"/>
        <v>UNPAID</v>
      </c>
    </row>
    <row r="210" spans="1:13" x14ac:dyDescent="0.3">
      <c r="A210" s="66">
        <f>'STUDENT DETAILS'!A207</f>
        <v>0</v>
      </c>
      <c r="B210" s="66">
        <f>'STUDENT DETAILS'!B207</f>
        <v>0</v>
      </c>
      <c r="C210" s="66">
        <f>'STUDENT DETAILS'!C207</f>
        <v>0</v>
      </c>
      <c r="D210" s="66">
        <f>'STUDENT DETAILS'!D207</f>
        <v>0</v>
      </c>
      <c r="E210" s="94">
        <f>'STUDENT DETAILS'!E207</f>
        <v>0</v>
      </c>
      <c r="F210" s="66" t="b">
        <f t="shared" si="12"/>
        <v>0</v>
      </c>
      <c r="G210" s="66"/>
      <c r="H210" s="66"/>
      <c r="I210" s="66"/>
      <c r="J210" s="66"/>
      <c r="K210" s="66">
        <f t="shared" si="13"/>
        <v>0</v>
      </c>
      <c r="L210" s="66">
        <f t="shared" si="14"/>
        <v>0</v>
      </c>
      <c r="M210" s="66" t="str">
        <f t="shared" si="15"/>
        <v>UNPAID</v>
      </c>
    </row>
    <row r="211" spans="1:13" x14ac:dyDescent="0.3">
      <c r="A211" s="66">
        <f>'STUDENT DETAILS'!A208</f>
        <v>0</v>
      </c>
      <c r="B211" s="66">
        <f>'STUDENT DETAILS'!B208</f>
        <v>0</v>
      </c>
      <c r="C211" s="66">
        <f>'STUDENT DETAILS'!C208</f>
        <v>0</v>
      </c>
      <c r="D211" s="66">
        <f>'STUDENT DETAILS'!D208</f>
        <v>0</v>
      </c>
      <c r="E211" s="94">
        <f>'STUDENT DETAILS'!E208</f>
        <v>0</v>
      </c>
      <c r="F211" s="66" t="b">
        <f t="shared" si="12"/>
        <v>0</v>
      </c>
      <c r="G211" s="66"/>
      <c r="H211" s="66"/>
      <c r="I211" s="66"/>
      <c r="J211" s="66"/>
      <c r="K211" s="66">
        <f t="shared" si="13"/>
        <v>0</v>
      </c>
      <c r="L211" s="66">
        <f t="shared" si="14"/>
        <v>0</v>
      </c>
      <c r="M211" s="66" t="str">
        <f t="shared" si="15"/>
        <v>UNPAID</v>
      </c>
    </row>
    <row r="212" spans="1:13" x14ac:dyDescent="0.3">
      <c r="A212" s="66">
        <f>'STUDENT DETAILS'!A209</f>
        <v>0</v>
      </c>
      <c r="B212" s="66">
        <f>'STUDENT DETAILS'!B209</f>
        <v>0</v>
      </c>
      <c r="C212" s="66">
        <f>'STUDENT DETAILS'!C209</f>
        <v>0</v>
      </c>
      <c r="D212" s="66">
        <f>'STUDENT DETAILS'!D209</f>
        <v>0</v>
      </c>
      <c r="E212" s="94">
        <f>'STUDENT DETAILS'!E209</f>
        <v>0</v>
      </c>
      <c r="F212" s="66" t="b">
        <f t="shared" si="12"/>
        <v>0</v>
      </c>
      <c r="G212" s="66"/>
      <c r="H212" s="66"/>
      <c r="I212" s="66"/>
      <c r="J212" s="66"/>
      <c r="K212" s="66">
        <f t="shared" si="13"/>
        <v>0</v>
      </c>
      <c r="L212" s="66">
        <f t="shared" si="14"/>
        <v>0</v>
      </c>
      <c r="M212" s="66" t="str">
        <f t="shared" si="15"/>
        <v>UNPAID</v>
      </c>
    </row>
    <row r="213" spans="1:13" x14ac:dyDescent="0.3">
      <c r="A213" s="66">
        <f>'STUDENT DETAILS'!A210</f>
        <v>0</v>
      </c>
      <c r="B213" s="66">
        <f>'STUDENT DETAILS'!B210</f>
        <v>0</v>
      </c>
      <c r="C213" s="66">
        <f>'STUDENT DETAILS'!C210</f>
        <v>0</v>
      </c>
      <c r="D213" s="66">
        <f>'STUDENT DETAILS'!D210</f>
        <v>0</v>
      </c>
      <c r="E213" s="94">
        <f>'STUDENT DETAILS'!E210</f>
        <v>0</v>
      </c>
      <c r="F213" s="66" t="b">
        <f t="shared" si="12"/>
        <v>0</v>
      </c>
      <c r="G213" s="66"/>
      <c r="H213" s="66"/>
      <c r="I213" s="66"/>
      <c r="J213" s="66"/>
      <c r="K213" s="66">
        <f t="shared" si="13"/>
        <v>0</v>
      </c>
      <c r="L213" s="66">
        <f t="shared" si="14"/>
        <v>0</v>
      </c>
      <c r="M213" s="66" t="str">
        <f t="shared" si="15"/>
        <v>UNPAID</v>
      </c>
    </row>
    <row r="214" spans="1:13" x14ac:dyDescent="0.3">
      <c r="A214" s="66">
        <f>'STUDENT DETAILS'!A211</f>
        <v>0</v>
      </c>
      <c r="B214" s="66">
        <f>'STUDENT DETAILS'!B211</f>
        <v>0</v>
      </c>
      <c r="C214" s="66">
        <f>'STUDENT DETAILS'!C211</f>
        <v>0</v>
      </c>
      <c r="D214" s="66">
        <f>'STUDENT DETAILS'!D211</f>
        <v>0</v>
      </c>
      <c r="E214" s="94">
        <f>'STUDENT DETAILS'!E211</f>
        <v>0</v>
      </c>
      <c r="F214" s="66" t="b">
        <f t="shared" si="12"/>
        <v>0</v>
      </c>
      <c r="G214" s="66"/>
      <c r="H214" s="66"/>
      <c r="I214" s="66"/>
      <c r="J214" s="66"/>
      <c r="K214" s="66">
        <f t="shared" si="13"/>
        <v>0</v>
      </c>
      <c r="L214" s="66">
        <f t="shared" si="14"/>
        <v>0</v>
      </c>
      <c r="M214" s="66" t="str">
        <f t="shared" si="15"/>
        <v>UNPAID</v>
      </c>
    </row>
    <row r="215" spans="1:13" x14ac:dyDescent="0.3">
      <c r="A215" s="66">
        <f>'STUDENT DETAILS'!A212</f>
        <v>0</v>
      </c>
      <c r="B215" s="66">
        <f>'STUDENT DETAILS'!B212</f>
        <v>0</v>
      </c>
      <c r="C215" s="66">
        <f>'STUDENT DETAILS'!C212</f>
        <v>0</v>
      </c>
      <c r="D215" s="66">
        <f>'STUDENT DETAILS'!D212</f>
        <v>0</v>
      </c>
      <c r="E215" s="94">
        <f>'STUDENT DETAILS'!E212</f>
        <v>0</v>
      </c>
      <c r="F215" s="66" t="b">
        <f t="shared" si="12"/>
        <v>0</v>
      </c>
      <c r="G215" s="66"/>
      <c r="H215" s="66"/>
      <c r="I215" s="66"/>
      <c r="J215" s="66"/>
      <c r="K215" s="66">
        <f t="shared" si="13"/>
        <v>0</v>
      </c>
      <c r="L215" s="66">
        <f t="shared" si="14"/>
        <v>0</v>
      </c>
      <c r="M215" s="66" t="str">
        <f t="shared" si="15"/>
        <v>UNPAID</v>
      </c>
    </row>
    <row r="216" spans="1:13" x14ac:dyDescent="0.3">
      <c r="A216" s="66">
        <f>'STUDENT DETAILS'!A213</f>
        <v>0</v>
      </c>
      <c r="B216" s="66">
        <f>'STUDENT DETAILS'!B213</f>
        <v>0</v>
      </c>
      <c r="C216" s="66">
        <f>'STUDENT DETAILS'!C213</f>
        <v>0</v>
      </c>
      <c r="D216" s="66">
        <f>'STUDENT DETAILS'!D213</f>
        <v>0</v>
      </c>
      <c r="E216" s="94">
        <f>'STUDENT DETAILS'!E213</f>
        <v>0</v>
      </c>
      <c r="F216" s="66" t="b">
        <f t="shared" si="12"/>
        <v>0</v>
      </c>
      <c r="G216" s="66"/>
      <c r="H216" s="66"/>
      <c r="I216" s="66"/>
      <c r="J216" s="66"/>
      <c r="K216" s="66">
        <f t="shared" si="13"/>
        <v>0</v>
      </c>
      <c r="L216" s="66">
        <f t="shared" si="14"/>
        <v>0</v>
      </c>
      <c r="M216" s="66" t="str">
        <f t="shared" si="15"/>
        <v>UNPAID</v>
      </c>
    </row>
    <row r="217" spans="1:13" x14ac:dyDescent="0.3">
      <c r="A217" s="66">
        <f>'STUDENT DETAILS'!A214</f>
        <v>0</v>
      </c>
      <c r="B217" s="66">
        <f>'STUDENT DETAILS'!B214</f>
        <v>0</v>
      </c>
      <c r="C217" s="66">
        <f>'STUDENT DETAILS'!C214</f>
        <v>0</v>
      </c>
      <c r="D217" s="66">
        <f>'STUDENT DETAILS'!D214</f>
        <v>0</v>
      </c>
      <c r="E217" s="94">
        <f>'STUDENT DETAILS'!E214</f>
        <v>0</v>
      </c>
      <c r="F217" s="66" t="b">
        <f t="shared" si="12"/>
        <v>0</v>
      </c>
      <c r="G217" s="66"/>
      <c r="H217" s="66"/>
      <c r="I217" s="66"/>
      <c r="J217" s="66"/>
      <c r="K217" s="66">
        <f t="shared" si="13"/>
        <v>0</v>
      </c>
      <c r="L217" s="66">
        <f t="shared" si="14"/>
        <v>0</v>
      </c>
      <c r="M217" s="66" t="str">
        <f t="shared" si="15"/>
        <v>UNPAID</v>
      </c>
    </row>
    <row r="218" spans="1:13" x14ac:dyDescent="0.3">
      <c r="A218" s="66">
        <f>'STUDENT DETAILS'!A215</f>
        <v>0</v>
      </c>
      <c r="B218" s="66">
        <f>'STUDENT DETAILS'!B215</f>
        <v>0</v>
      </c>
      <c r="C218" s="66">
        <f>'STUDENT DETAILS'!C215</f>
        <v>0</v>
      </c>
      <c r="D218" s="66">
        <f>'STUDENT DETAILS'!D215</f>
        <v>0</v>
      </c>
      <c r="E218" s="94">
        <f>'STUDENT DETAILS'!E215</f>
        <v>0</v>
      </c>
      <c r="F218" s="66" t="b">
        <f t="shared" si="12"/>
        <v>0</v>
      </c>
      <c r="G218" s="66"/>
      <c r="H218" s="66"/>
      <c r="I218" s="66"/>
      <c r="J218" s="66"/>
      <c r="K218" s="66">
        <f t="shared" si="13"/>
        <v>0</v>
      </c>
      <c r="L218" s="66">
        <f t="shared" si="14"/>
        <v>0</v>
      </c>
      <c r="M218" s="66" t="str">
        <f t="shared" si="15"/>
        <v>UNPAID</v>
      </c>
    </row>
    <row r="219" spans="1:13" x14ac:dyDescent="0.3">
      <c r="A219" s="66">
        <f>'STUDENT DETAILS'!A216</f>
        <v>0</v>
      </c>
      <c r="B219" s="66">
        <f>'STUDENT DETAILS'!B216</f>
        <v>0</v>
      </c>
      <c r="C219" s="66">
        <f>'STUDENT DETAILS'!C216</f>
        <v>0</v>
      </c>
      <c r="D219" s="66">
        <f>'STUDENT DETAILS'!D216</f>
        <v>0</v>
      </c>
      <c r="E219" s="94">
        <f>'STUDENT DETAILS'!E216</f>
        <v>0</v>
      </c>
      <c r="F219" s="66" t="b">
        <f t="shared" si="12"/>
        <v>0</v>
      </c>
      <c r="G219" s="66"/>
      <c r="H219" s="66"/>
      <c r="I219" s="66"/>
      <c r="J219" s="66"/>
      <c r="K219" s="66">
        <f t="shared" si="13"/>
        <v>0</v>
      </c>
      <c r="L219" s="66">
        <f t="shared" si="14"/>
        <v>0</v>
      </c>
      <c r="M219" s="66" t="str">
        <f t="shared" si="15"/>
        <v>UNPAID</v>
      </c>
    </row>
    <row r="220" spans="1:13" x14ac:dyDescent="0.3">
      <c r="A220" s="66">
        <f>'STUDENT DETAILS'!A217</f>
        <v>0</v>
      </c>
      <c r="B220" s="66">
        <f>'STUDENT DETAILS'!B217</f>
        <v>0</v>
      </c>
      <c r="C220" s="66">
        <f>'STUDENT DETAILS'!C217</f>
        <v>0</v>
      </c>
      <c r="D220" s="66">
        <f>'STUDENT DETAILS'!D217</f>
        <v>0</v>
      </c>
      <c r="E220" s="94">
        <f>'STUDENT DETAILS'!E217</f>
        <v>0</v>
      </c>
      <c r="F220" s="66" t="b">
        <f t="shared" si="12"/>
        <v>0</v>
      </c>
      <c r="G220" s="66"/>
      <c r="H220" s="66"/>
      <c r="I220" s="66"/>
      <c r="J220" s="66"/>
      <c r="K220" s="66">
        <f t="shared" si="13"/>
        <v>0</v>
      </c>
      <c r="L220" s="66">
        <f t="shared" si="14"/>
        <v>0</v>
      </c>
      <c r="M220" s="66" t="str">
        <f t="shared" si="15"/>
        <v>UNPAID</v>
      </c>
    </row>
    <row r="221" spans="1:13" x14ac:dyDescent="0.3">
      <c r="A221" s="66">
        <f>'STUDENT DETAILS'!A218</f>
        <v>0</v>
      </c>
      <c r="B221" s="66">
        <f>'STUDENT DETAILS'!B218</f>
        <v>0</v>
      </c>
      <c r="C221" s="66">
        <f>'STUDENT DETAILS'!C218</f>
        <v>0</v>
      </c>
      <c r="D221" s="66">
        <f>'STUDENT DETAILS'!D218</f>
        <v>0</v>
      </c>
      <c r="E221" s="94">
        <f>'STUDENT DETAILS'!E218</f>
        <v>0</v>
      </c>
      <c r="F221" s="66" t="b">
        <f t="shared" si="12"/>
        <v>0</v>
      </c>
      <c r="G221" s="66"/>
      <c r="H221" s="66"/>
      <c r="I221" s="66"/>
      <c r="J221" s="66"/>
      <c r="K221" s="66">
        <f t="shared" si="13"/>
        <v>0</v>
      </c>
      <c r="L221" s="66">
        <f t="shared" si="14"/>
        <v>0</v>
      </c>
      <c r="M221" s="66" t="str">
        <f t="shared" si="15"/>
        <v>UNPAID</v>
      </c>
    </row>
    <row r="222" spans="1:13" x14ac:dyDescent="0.3">
      <c r="A222" s="66">
        <f>'STUDENT DETAILS'!A219</f>
        <v>0</v>
      </c>
      <c r="B222" s="66">
        <f>'STUDENT DETAILS'!B219</f>
        <v>0</v>
      </c>
      <c r="C222" s="66">
        <f>'STUDENT DETAILS'!C219</f>
        <v>0</v>
      </c>
      <c r="D222" s="66">
        <f>'STUDENT DETAILS'!D219</f>
        <v>0</v>
      </c>
      <c r="E222" s="94">
        <f>'STUDENT DETAILS'!E219</f>
        <v>0</v>
      </c>
      <c r="F222" s="66" t="b">
        <f t="shared" si="12"/>
        <v>0</v>
      </c>
      <c r="G222" s="66"/>
      <c r="H222" s="66"/>
      <c r="I222" s="66"/>
      <c r="J222" s="66"/>
      <c r="K222" s="66">
        <f t="shared" si="13"/>
        <v>0</v>
      </c>
      <c r="L222" s="66">
        <f t="shared" si="14"/>
        <v>0</v>
      </c>
      <c r="M222" s="66" t="str">
        <f t="shared" si="15"/>
        <v>UNPAID</v>
      </c>
    </row>
    <row r="223" spans="1:13" x14ac:dyDescent="0.3">
      <c r="A223" s="66">
        <f>'STUDENT DETAILS'!A220</f>
        <v>0</v>
      </c>
      <c r="B223" s="66">
        <f>'STUDENT DETAILS'!B220</f>
        <v>0</v>
      </c>
      <c r="C223" s="66">
        <f>'STUDENT DETAILS'!C220</f>
        <v>0</v>
      </c>
      <c r="D223" s="66">
        <f>'STUDENT DETAILS'!D220</f>
        <v>0</v>
      </c>
      <c r="E223" s="94">
        <f>'STUDENT DETAILS'!E220</f>
        <v>0</v>
      </c>
      <c r="F223" s="66" t="b">
        <f t="shared" si="12"/>
        <v>0</v>
      </c>
      <c r="G223" s="66"/>
      <c r="H223" s="66"/>
      <c r="I223" s="66"/>
      <c r="J223" s="66"/>
      <c r="K223" s="66">
        <f t="shared" si="13"/>
        <v>0</v>
      </c>
      <c r="L223" s="66">
        <f t="shared" si="14"/>
        <v>0</v>
      </c>
      <c r="M223" s="66" t="str">
        <f t="shared" si="15"/>
        <v>UNPAID</v>
      </c>
    </row>
    <row r="224" spans="1:13" x14ac:dyDescent="0.3">
      <c r="A224" s="66">
        <f>'STUDENT DETAILS'!A221</f>
        <v>0</v>
      </c>
      <c r="B224" s="66">
        <f>'STUDENT DETAILS'!B221</f>
        <v>0</v>
      </c>
      <c r="C224" s="66">
        <f>'STUDENT DETAILS'!C221</f>
        <v>0</v>
      </c>
      <c r="D224" s="66">
        <f>'STUDENT DETAILS'!D221</f>
        <v>0</v>
      </c>
      <c r="E224" s="94">
        <f>'STUDENT DETAILS'!E221</f>
        <v>0</v>
      </c>
      <c r="F224" s="66" t="b">
        <f t="shared" si="12"/>
        <v>0</v>
      </c>
      <c r="G224" s="66"/>
      <c r="H224" s="66"/>
      <c r="I224" s="66"/>
      <c r="J224" s="66"/>
      <c r="K224" s="66">
        <f t="shared" si="13"/>
        <v>0</v>
      </c>
      <c r="L224" s="66">
        <f t="shared" si="14"/>
        <v>0</v>
      </c>
      <c r="M224" s="66" t="str">
        <f t="shared" si="15"/>
        <v>UNPAID</v>
      </c>
    </row>
    <row r="225" spans="1:13" x14ac:dyDescent="0.3">
      <c r="A225" s="66">
        <f>'STUDENT DETAILS'!A222</f>
        <v>0</v>
      </c>
      <c r="B225" s="66">
        <f>'STUDENT DETAILS'!B222</f>
        <v>0</v>
      </c>
      <c r="C225" s="66">
        <f>'STUDENT DETAILS'!C222</f>
        <v>0</v>
      </c>
      <c r="D225" s="66">
        <f>'STUDENT DETAILS'!D222</f>
        <v>0</v>
      </c>
      <c r="E225" s="94">
        <f>'STUDENT DETAILS'!E222</f>
        <v>0</v>
      </c>
      <c r="F225" s="66" t="b">
        <f t="shared" si="12"/>
        <v>0</v>
      </c>
      <c r="G225" s="66"/>
      <c r="H225" s="66"/>
      <c r="I225" s="66"/>
      <c r="J225" s="66"/>
      <c r="K225" s="66">
        <f t="shared" si="13"/>
        <v>0</v>
      </c>
      <c r="L225" s="66">
        <f t="shared" si="14"/>
        <v>0</v>
      </c>
      <c r="M225" s="66" t="str">
        <f t="shared" si="15"/>
        <v>UNPAID</v>
      </c>
    </row>
    <row r="226" spans="1:13" x14ac:dyDescent="0.3">
      <c r="A226" s="66">
        <f>'STUDENT DETAILS'!A223</f>
        <v>0</v>
      </c>
      <c r="B226" s="66">
        <f>'STUDENT DETAILS'!B223</f>
        <v>0</v>
      </c>
      <c r="C226" s="66">
        <f>'STUDENT DETAILS'!C223</f>
        <v>0</v>
      </c>
      <c r="D226" s="66">
        <f>'STUDENT DETAILS'!D223</f>
        <v>0</v>
      </c>
      <c r="E226" s="94">
        <f>'STUDENT DETAILS'!E223</f>
        <v>0</v>
      </c>
      <c r="F226" s="66" t="b">
        <f t="shared" si="12"/>
        <v>0</v>
      </c>
      <c r="G226" s="66"/>
      <c r="H226" s="66"/>
      <c r="I226" s="66"/>
      <c r="J226" s="66"/>
      <c r="K226" s="66">
        <f t="shared" si="13"/>
        <v>0</v>
      </c>
      <c r="L226" s="66">
        <f t="shared" si="14"/>
        <v>0</v>
      </c>
      <c r="M226" s="66" t="str">
        <f t="shared" si="15"/>
        <v>UNPAID</v>
      </c>
    </row>
    <row r="227" spans="1:13" x14ac:dyDescent="0.3">
      <c r="A227" s="66">
        <f>'STUDENT DETAILS'!A224</f>
        <v>0</v>
      </c>
      <c r="B227" s="66">
        <f>'STUDENT DETAILS'!B224</f>
        <v>0</v>
      </c>
      <c r="C227" s="66">
        <f>'STUDENT DETAILS'!C224</f>
        <v>0</v>
      </c>
      <c r="D227" s="66">
        <f>'STUDENT DETAILS'!D224</f>
        <v>0</v>
      </c>
      <c r="E227" s="94">
        <f>'STUDENT DETAILS'!E224</f>
        <v>0</v>
      </c>
      <c r="F227" s="66" t="b">
        <f t="shared" si="12"/>
        <v>0</v>
      </c>
      <c r="G227" s="66"/>
      <c r="H227" s="66"/>
      <c r="I227" s="66"/>
      <c r="J227" s="66"/>
      <c r="K227" s="66">
        <f t="shared" si="13"/>
        <v>0</v>
      </c>
      <c r="L227" s="66">
        <f t="shared" si="14"/>
        <v>0</v>
      </c>
      <c r="M227" s="66" t="str">
        <f t="shared" si="15"/>
        <v>UNPAID</v>
      </c>
    </row>
    <row r="228" spans="1:13" x14ac:dyDescent="0.3">
      <c r="A228" s="66">
        <f>'STUDENT DETAILS'!A225</f>
        <v>0</v>
      </c>
      <c r="B228" s="66">
        <f>'STUDENT DETAILS'!B225</f>
        <v>0</v>
      </c>
      <c r="C228" s="66">
        <f>'STUDENT DETAILS'!C225</f>
        <v>0</v>
      </c>
      <c r="D228" s="66">
        <f>'STUDENT DETAILS'!D225</f>
        <v>0</v>
      </c>
      <c r="E228" s="94">
        <f>'STUDENT DETAILS'!E225</f>
        <v>0</v>
      </c>
      <c r="F228" s="66" t="b">
        <f t="shared" si="12"/>
        <v>0</v>
      </c>
      <c r="G228" s="66"/>
      <c r="H228" s="66"/>
      <c r="I228" s="66"/>
      <c r="J228" s="66"/>
      <c r="K228" s="66">
        <f t="shared" si="13"/>
        <v>0</v>
      </c>
      <c r="L228" s="66">
        <f t="shared" si="14"/>
        <v>0</v>
      </c>
      <c r="M228" s="66" t="str">
        <f t="shared" si="15"/>
        <v>UNPAID</v>
      </c>
    </row>
    <row r="229" spans="1:13" x14ac:dyDescent="0.3">
      <c r="A229" s="66">
        <f>'STUDENT DETAILS'!A226</f>
        <v>0</v>
      </c>
      <c r="B229" s="66">
        <f>'STUDENT DETAILS'!B226</f>
        <v>0</v>
      </c>
      <c r="C229" s="66">
        <f>'STUDENT DETAILS'!C226</f>
        <v>0</v>
      </c>
      <c r="D229" s="66">
        <f>'STUDENT DETAILS'!D226</f>
        <v>0</v>
      </c>
      <c r="E229" s="94">
        <f>'STUDENT DETAILS'!E226</f>
        <v>0</v>
      </c>
      <c r="F229" s="66" t="b">
        <f t="shared" si="12"/>
        <v>0</v>
      </c>
      <c r="G229" s="66"/>
      <c r="H229" s="66"/>
      <c r="I229" s="66"/>
      <c r="J229" s="66"/>
      <c r="K229" s="66">
        <f t="shared" si="13"/>
        <v>0</v>
      </c>
      <c r="L229" s="66">
        <f t="shared" si="14"/>
        <v>0</v>
      </c>
      <c r="M229" s="66" t="str">
        <f t="shared" si="15"/>
        <v>UNPAID</v>
      </c>
    </row>
    <row r="230" spans="1:13" x14ac:dyDescent="0.3">
      <c r="A230" s="66">
        <f>'STUDENT DETAILS'!A227</f>
        <v>0</v>
      </c>
      <c r="B230" s="66">
        <f>'STUDENT DETAILS'!B227</f>
        <v>0</v>
      </c>
      <c r="C230" s="66">
        <f>'STUDENT DETAILS'!C227</f>
        <v>0</v>
      </c>
      <c r="D230" s="66">
        <f>'STUDENT DETAILS'!D227</f>
        <v>0</v>
      </c>
      <c r="E230" s="94">
        <f>'STUDENT DETAILS'!E227</f>
        <v>0</v>
      </c>
      <c r="F230" s="66" t="b">
        <f t="shared" si="12"/>
        <v>0</v>
      </c>
      <c r="G230" s="66"/>
      <c r="H230" s="66"/>
      <c r="I230" s="66"/>
      <c r="J230" s="66"/>
      <c r="K230" s="66">
        <f t="shared" si="13"/>
        <v>0</v>
      </c>
      <c r="L230" s="66">
        <f t="shared" si="14"/>
        <v>0</v>
      </c>
      <c r="M230" s="66" t="str">
        <f t="shared" si="15"/>
        <v>UNPAID</v>
      </c>
    </row>
    <row r="231" spans="1:13" x14ac:dyDescent="0.3">
      <c r="A231" s="66">
        <f>'STUDENT DETAILS'!A228</f>
        <v>0</v>
      </c>
      <c r="B231" s="66">
        <f>'STUDENT DETAILS'!B228</f>
        <v>0</v>
      </c>
      <c r="C231" s="66">
        <f>'STUDENT DETAILS'!C228</f>
        <v>0</v>
      </c>
      <c r="D231" s="66">
        <f>'STUDENT DETAILS'!D228</f>
        <v>0</v>
      </c>
      <c r="E231" s="94">
        <f>'STUDENT DETAILS'!E228</f>
        <v>0</v>
      </c>
      <c r="F231" s="66" t="b">
        <f t="shared" si="12"/>
        <v>0</v>
      </c>
      <c r="G231" s="66"/>
      <c r="H231" s="66"/>
      <c r="I231" s="66"/>
      <c r="J231" s="66"/>
      <c r="K231" s="66">
        <f t="shared" si="13"/>
        <v>0</v>
      </c>
      <c r="L231" s="66">
        <f t="shared" si="14"/>
        <v>0</v>
      </c>
      <c r="M231" s="66" t="str">
        <f t="shared" si="15"/>
        <v>UNPAID</v>
      </c>
    </row>
    <row r="232" spans="1:13" x14ac:dyDescent="0.3">
      <c r="A232" s="66">
        <f>'STUDENT DETAILS'!A229</f>
        <v>0</v>
      </c>
      <c r="B232" s="66">
        <f>'STUDENT DETAILS'!B229</f>
        <v>0</v>
      </c>
      <c r="C232" s="66">
        <f>'STUDENT DETAILS'!C229</f>
        <v>0</v>
      </c>
      <c r="D232" s="66">
        <f>'STUDENT DETAILS'!D229</f>
        <v>0</v>
      </c>
      <c r="E232" s="94">
        <f>'STUDENT DETAILS'!E229</f>
        <v>0</v>
      </c>
      <c r="F232" s="66" t="b">
        <f t="shared" si="12"/>
        <v>0</v>
      </c>
      <c r="G232" s="66"/>
      <c r="H232" s="66"/>
      <c r="I232" s="66"/>
      <c r="J232" s="66"/>
      <c r="K232" s="66">
        <f t="shared" si="13"/>
        <v>0</v>
      </c>
      <c r="L232" s="66">
        <f t="shared" si="14"/>
        <v>0</v>
      </c>
      <c r="M232" s="66" t="str">
        <f t="shared" si="15"/>
        <v>UNPAID</v>
      </c>
    </row>
    <row r="233" spans="1:13" x14ac:dyDescent="0.3">
      <c r="A233" s="66">
        <f>'STUDENT DETAILS'!A230</f>
        <v>0</v>
      </c>
      <c r="B233" s="66">
        <f>'STUDENT DETAILS'!B230</f>
        <v>0</v>
      </c>
      <c r="C233" s="66">
        <f>'STUDENT DETAILS'!C230</f>
        <v>0</v>
      </c>
      <c r="D233" s="66">
        <f>'STUDENT DETAILS'!D230</f>
        <v>0</v>
      </c>
      <c r="E233" s="94">
        <f>'STUDENT DETAILS'!E230</f>
        <v>0</v>
      </c>
      <c r="F233" s="66" t="b">
        <f t="shared" si="12"/>
        <v>0</v>
      </c>
      <c r="G233" s="66"/>
      <c r="H233" s="66"/>
      <c r="I233" s="66"/>
      <c r="J233" s="66"/>
      <c r="K233" s="66">
        <f t="shared" si="13"/>
        <v>0</v>
      </c>
      <c r="L233" s="66">
        <f t="shared" si="14"/>
        <v>0</v>
      </c>
      <c r="M233" s="66" t="str">
        <f t="shared" si="15"/>
        <v>UNPAID</v>
      </c>
    </row>
    <row r="234" spans="1:13" x14ac:dyDescent="0.3">
      <c r="A234" s="66">
        <f>'STUDENT DETAILS'!A231</f>
        <v>0</v>
      </c>
      <c r="B234" s="66">
        <f>'STUDENT DETAILS'!B231</f>
        <v>0</v>
      </c>
      <c r="C234" s="66">
        <f>'STUDENT DETAILS'!C231</f>
        <v>0</v>
      </c>
      <c r="D234" s="66">
        <f>'STUDENT DETAILS'!D231</f>
        <v>0</v>
      </c>
      <c r="E234" s="94">
        <f>'STUDENT DETAILS'!E231</f>
        <v>0</v>
      </c>
      <c r="F234" s="66" t="b">
        <f t="shared" si="12"/>
        <v>0</v>
      </c>
      <c r="G234" s="66"/>
      <c r="H234" s="66"/>
      <c r="I234" s="66"/>
      <c r="J234" s="66"/>
      <c r="K234" s="66">
        <f t="shared" si="13"/>
        <v>0</v>
      </c>
      <c r="L234" s="66">
        <f t="shared" si="14"/>
        <v>0</v>
      </c>
      <c r="M234" s="66" t="str">
        <f t="shared" si="15"/>
        <v>UNPAID</v>
      </c>
    </row>
    <row r="235" spans="1:13" x14ac:dyDescent="0.3">
      <c r="A235" s="66">
        <f>'STUDENT DETAILS'!A232</f>
        <v>0</v>
      </c>
      <c r="B235" s="66">
        <f>'STUDENT DETAILS'!B232</f>
        <v>0</v>
      </c>
      <c r="C235" s="66">
        <f>'STUDENT DETAILS'!C232</f>
        <v>0</v>
      </c>
      <c r="D235" s="66">
        <f>'STUDENT DETAILS'!D232</f>
        <v>0</v>
      </c>
      <c r="E235" s="94">
        <f>'STUDENT DETAILS'!E232</f>
        <v>0</v>
      </c>
      <c r="F235" s="66" t="b">
        <f t="shared" si="12"/>
        <v>0</v>
      </c>
      <c r="G235" s="66"/>
      <c r="H235" s="66"/>
      <c r="I235" s="66"/>
      <c r="J235" s="66"/>
      <c r="K235" s="66">
        <f t="shared" si="13"/>
        <v>0</v>
      </c>
      <c r="L235" s="66">
        <f t="shared" si="14"/>
        <v>0</v>
      </c>
      <c r="M235" s="66" t="str">
        <f t="shared" si="15"/>
        <v>UNPAID</v>
      </c>
    </row>
    <row r="236" spans="1:13" x14ac:dyDescent="0.3">
      <c r="A236" s="66">
        <f>'STUDENT DETAILS'!A233</f>
        <v>0</v>
      </c>
      <c r="B236" s="66">
        <f>'STUDENT DETAILS'!B233</f>
        <v>0</v>
      </c>
      <c r="C236" s="66">
        <f>'STUDENT DETAILS'!C233</f>
        <v>0</v>
      </c>
      <c r="D236" s="66">
        <f>'STUDENT DETAILS'!D233</f>
        <v>0</v>
      </c>
      <c r="E236" s="94">
        <f>'STUDENT DETAILS'!E233</f>
        <v>0</v>
      </c>
      <c r="F236" s="66" t="b">
        <f t="shared" si="12"/>
        <v>0</v>
      </c>
      <c r="G236" s="66"/>
      <c r="H236" s="66"/>
      <c r="I236" s="66"/>
      <c r="J236" s="66"/>
      <c r="K236" s="66">
        <f t="shared" si="13"/>
        <v>0</v>
      </c>
      <c r="L236" s="66">
        <f t="shared" si="14"/>
        <v>0</v>
      </c>
      <c r="M236" s="66" t="str">
        <f t="shared" si="15"/>
        <v>UNPAID</v>
      </c>
    </row>
    <row r="237" spans="1:13" x14ac:dyDescent="0.3">
      <c r="A237" s="66">
        <f>'STUDENT DETAILS'!A234</f>
        <v>0</v>
      </c>
      <c r="B237" s="66">
        <f>'STUDENT DETAILS'!B234</f>
        <v>0</v>
      </c>
      <c r="C237" s="66">
        <f>'STUDENT DETAILS'!C234</f>
        <v>0</v>
      </c>
      <c r="D237" s="66">
        <f>'STUDENT DETAILS'!D234</f>
        <v>0</v>
      </c>
      <c r="E237" s="94">
        <f>'STUDENT DETAILS'!E234</f>
        <v>0</v>
      </c>
      <c r="F237" s="66" t="b">
        <f t="shared" si="12"/>
        <v>0</v>
      </c>
      <c r="G237" s="66"/>
      <c r="H237" s="66"/>
      <c r="I237" s="66"/>
      <c r="J237" s="66"/>
      <c r="K237" s="66">
        <f t="shared" si="13"/>
        <v>0</v>
      </c>
      <c r="L237" s="66">
        <f t="shared" si="14"/>
        <v>0</v>
      </c>
      <c r="M237" s="66" t="str">
        <f t="shared" si="15"/>
        <v>UNPAID</v>
      </c>
    </row>
    <row r="238" spans="1:13" x14ac:dyDescent="0.3">
      <c r="A238" s="66">
        <f>'STUDENT DETAILS'!A235</f>
        <v>0</v>
      </c>
      <c r="B238" s="66">
        <f>'STUDENT DETAILS'!B235</f>
        <v>0</v>
      </c>
      <c r="C238" s="66">
        <f>'STUDENT DETAILS'!C235</f>
        <v>0</v>
      </c>
      <c r="D238" s="66">
        <f>'STUDENT DETAILS'!D235</f>
        <v>0</v>
      </c>
      <c r="E238" s="94">
        <f>'STUDENT DETAILS'!E235</f>
        <v>0</v>
      </c>
      <c r="F238" s="66" t="b">
        <f t="shared" si="12"/>
        <v>0</v>
      </c>
      <c r="G238" s="66"/>
      <c r="H238" s="66"/>
      <c r="I238" s="66"/>
      <c r="J238" s="66"/>
      <c r="K238" s="66">
        <f t="shared" si="13"/>
        <v>0</v>
      </c>
      <c r="L238" s="66">
        <f t="shared" si="14"/>
        <v>0</v>
      </c>
      <c r="M238" s="66" t="str">
        <f t="shared" si="15"/>
        <v>UNPAID</v>
      </c>
    </row>
    <row r="239" spans="1:13" x14ac:dyDescent="0.3">
      <c r="A239" s="66">
        <f>'STUDENT DETAILS'!A236</f>
        <v>0</v>
      </c>
      <c r="B239" s="66">
        <f>'STUDENT DETAILS'!B236</f>
        <v>0</v>
      </c>
      <c r="C239" s="66">
        <f>'STUDENT DETAILS'!C236</f>
        <v>0</v>
      </c>
      <c r="D239" s="66">
        <f>'STUDENT DETAILS'!D236</f>
        <v>0</v>
      </c>
      <c r="E239" s="94">
        <f>'STUDENT DETAILS'!E236</f>
        <v>0</v>
      </c>
      <c r="F239" s="66" t="b">
        <f t="shared" si="12"/>
        <v>0</v>
      </c>
      <c r="G239" s="66"/>
      <c r="H239" s="66"/>
      <c r="I239" s="66"/>
      <c r="J239" s="66"/>
      <c r="K239" s="66">
        <f t="shared" si="13"/>
        <v>0</v>
      </c>
      <c r="L239" s="66">
        <f t="shared" si="14"/>
        <v>0</v>
      </c>
      <c r="M239" s="66" t="str">
        <f t="shared" si="15"/>
        <v>UNPAID</v>
      </c>
    </row>
    <row r="240" spans="1:13" x14ac:dyDescent="0.3">
      <c r="A240" s="66">
        <f>'STUDENT DETAILS'!A237</f>
        <v>0</v>
      </c>
      <c r="B240" s="66">
        <f>'STUDENT DETAILS'!B237</f>
        <v>0</v>
      </c>
      <c r="C240" s="66">
        <f>'STUDENT DETAILS'!C237</f>
        <v>0</v>
      </c>
      <c r="D240" s="66">
        <f>'STUDENT DETAILS'!D237</f>
        <v>0</v>
      </c>
      <c r="E240" s="94">
        <f>'STUDENT DETAILS'!E237</f>
        <v>0</v>
      </c>
      <c r="F240" s="66" t="b">
        <f t="shared" si="12"/>
        <v>0</v>
      </c>
      <c r="G240" s="66"/>
      <c r="H240" s="66"/>
      <c r="I240" s="66"/>
      <c r="J240" s="66"/>
      <c r="K240" s="66">
        <f t="shared" si="13"/>
        <v>0</v>
      </c>
      <c r="L240" s="66">
        <f t="shared" si="14"/>
        <v>0</v>
      </c>
      <c r="M240" s="66" t="str">
        <f t="shared" si="15"/>
        <v>UNPAID</v>
      </c>
    </row>
    <row r="241" spans="1:13" x14ac:dyDescent="0.3">
      <c r="A241" s="66">
        <f>'STUDENT DETAILS'!A238</f>
        <v>0</v>
      </c>
      <c r="B241" s="66">
        <f>'STUDENT DETAILS'!B238</f>
        <v>0</v>
      </c>
      <c r="C241" s="66">
        <f>'STUDENT DETAILS'!C238</f>
        <v>0</v>
      </c>
      <c r="D241" s="66">
        <f>'STUDENT DETAILS'!D238</f>
        <v>0</v>
      </c>
      <c r="E241" s="94">
        <f>'STUDENT DETAILS'!E238</f>
        <v>0</v>
      </c>
      <c r="F241" s="66" t="b">
        <f t="shared" si="12"/>
        <v>0</v>
      </c>
      <c r="G241" s="66"/>
      <c r="H241" s="66"/>
      <c r="I241" s="66"/>
      <c r="J241" s="66"/>
      <c r="K241" s="66">
        <f t="shared" si="13"/>
        <v>0</v>
      </c>
      <c r="L241" s="66">
        <f t="shared" si="14"/>
        <v>0</v>
      </c>
      <c r="M241" s="66" t="str">
        <f t="shared" si="15"/>
        <v>UNPAID</v>
      </c>
    </row>
    <row r="242" spans="1:13" x14ac:dyDescent="0.3">
      <c r="A242" s="66">
        <f>'STUDENT DETAILS'!A239</f>
        <v>0</v>
      </c>
      <c r="B242" s="66">
        <f>'STUDENT DETAILS'!B239</f>
        <v>0</v>
      </c>
      <c r="C242" s="66">
        <f>'STUDENT DETAILS'!C239</f>
        <v>0</v>
      </c>
      <c r="D242" s="66">
        <f>'STUDENT DETAILS'!D239</f>
        <v>0</v>
      </c>
      <c r="E242" s="94">
        <f>'STUDENT DETAILS'!E239</f>
        <v>0</v>
      </c>
      <c r="F242" s="66" t="b">
        <f t="shared" si="12"/>
        <v>0</v>
      </c>
      <c r="G242" s="66"/>
      <c r="H242" s="66"/>
      <c r="I242" s="66"/>
      <c r="J242" s="66"/>
      <c r="K242" s="66">
        <f t="shared" si="13"/>
        <v>0</v>
      </c>
      <c r="L242" s="66">
        <f t="shared" si="14"/>
        <v>0</v>
      </c>
      <c r="M242" s="66" t="str">
        <f t="shared" si="15"/>
        <v>UNPAID</v>
      </c>
    </row>
    <row r="243" spans="1:13" x14ac:dyDescent="0.3">
      <c r="A243" s="66">
        <f>'STUDENT DETAILS'!A240</f>
        <v>0</v>
      </c>
      <c r="B243" s="66">
        <f>'STUDENT DETAILS'!B240</f>
        <v>0</v>
      </c>
      <c r="C243" s="66">
        <f>'STUDENT DETAILS'!C240</f>
        <v>0</v>
      </c>
      <c r="D243" s="66">
        <f>'STUDENT DETAILS'!D240</f>
        <v>0</v>
      </c>
      <c r="E243" s="94">
        <f>'STUDENT DETAILS'!E240</f>
        <v>0</v>
      </c>
      <c r="F243" s="66" t="b">
        <f t="shared" si="12"/>
        <v>0</v>
      </c>
      <c r="G243" s="66"/>
      <c r="H243" s="66"/>
      <c r="I243" s="66"/>
      <c r="J243" s="66"/>
      <c r="K243" s="66">
        <f t="shared" si="13"/>
        <v>0</v>
      </c>
      <c r="L243" s="66">
        <f t="shared" si="14"/>
        <v>0</v>
      </c>
      <c r="M243" s="66" t="str">
        <f t="shared" si="15"/>
        <v>UNPAID</v>
      </c>
    </row>
    <row r="244" spans="1:13" x14ac:dyDescent="0.3">
      <c r="A244" s="66">
        <f>'STUDENT DETAILS'!A241</f>
        <v>0</v>
      </c>
      <c r="B244" s="66">
        <f>'STUDENT DETAILS'!B241</f>
        <v>0</v>
      </c>
      <c r="C244" s="66">
        <f>'STUDENT DETAILS'!C241</f>
        <v>0</v>
      </c>
      <c r="D244" s="66">
        <f>'STUDENT DETAILS'!D241</f>
        <v>0</v>
      </c>
      <c r="E244" s="94">
        <f>'STUDENT DETAILS'!E241</f>
        <v>0</v>
      </c>
      <c r="F244" s="66" t="b">
        <f t="shared" si="12"/>
        <v>0</v>
      </c>
      <c r="G244" s="66"/>
      <c r="H244" s="66"/>
      <c r="I244" s="66"/>
      <c r="J244" s="66"/>
      <c r="K244" s="66">
        <f t="shared" si="13"/>
        <v>0</v>
      </c>
      <c r="L244" s="66">
        <f t="shared" si="14"/>
        <v>0</v>
      </c>
      <c r="M244" s="66" t="str">
        <f t="shared" si="15"/>
        <v>UNPAID</v>
      </c>
    </row>
    <row r="245" spans="1:13" x14ac:dyDescent="0.3">
      <c r="A245" s="66">
        <f>'STUDENT DETAILS'!A242</f>
        <v>0</v>
      </c>
      <c r="B245" s="66">
        <f>'STUDENT DETAILS'!B242</f>
        <v>0</v>
      </c>
      <c r="C245" s="66">
        <f>'STUDENT DETAILS'!C242</f>
        <v>0</v>
      </c>
      <c r="D245" s="66">
        <f>'STUDENT DETAILS'!D242</f>
        <v>0</v>
      </c>
      <c r="E245" s="94">
        <f>'STUDENT DETAILS'!E242</f>
        <v>0</v>
      </c>
      <c r="F245" s="66" t="b">
        <f t="shared" si="12"/>
        <v>0</v>
      </c>
      <c r="G245" s="66"/>
      <c r="H245" s="66"/>
      <c r="I245" s="66"/>
      <c r="J245" s="66"/>
      <c r="K245" s="66">
        <f t="shared" si="13"/>
        <v>0</v>
      </c>
      <c r="L245" s="66">
        <f t="shared" si="14"/>
        <v>0</v>
      </c>
      <c r="M245" s="66" t="str">
        <f t="shared" si="15"/>
        <v>UNPAID</v>
      </c>
    </row>
    <row r="246" spans="1:13" x14ac:dyDescent="0.3">
      <c r="A246" s="66">
        <f>'STUDENT DETAILS'!A243</f>
        <v>0</v>
      </c>
      <c r="B246" s="66">
        <f>'STUDENT DETAILS'!B243</f>
        <v>0</v>
      </c>
      <c r="C246" s="66">
        <f>'STUDENT DETAILS'!C243</f>
        <v>0</v>
      </c>
      <c r="D246" s="66">
        <f>'STUDENT DETAILS'!D243</f>
        <v>0</v>
      </c>
      <c r="E246" s="94">
        <f>'STUDENT DETAILS'!E243</f>
        <v>0</v>
      </c>
      <c r="F246" s="66" t="b">
        <f t="shared" si="12"/>
        <v>0</v>
      </c>
      <c r="G246" s="66"/>
      <c r="H246" s="66"/>
      <c r="I246" s="66"/>
      <c r="J246" s="66"/>
      <c r="K246" s="66">
        <f t="shared" si="13"/>
        <v>0</v>
      </c>
      <c r="L246" s="66">
        <f t="shared" si="14"/>
        <v>0</v>
      </c>
      <c r="M246" s="66" t="str">
        <f t="shared" si="15"/>
        <v>UNPAID</v>
      </c>
    </row>
    <row r="247" spans="1:13" x14ac:dyDescent="0.3">
      <c r="A247" s="66">
        <f>'STUDENT DETAILS'!A244</f>
        <v>0</v>
      </c>
      <c r="B247" s="66">
        <f>'STUDENT DETAILS'!B244</f>
        <v>0</v>
      </c>
      <c r="C247" s="66">
        <f>'STUDENT DETAILS'!C244</f>
        <v>0</v>
      </c>
      <c r="D247" s="66">
        <f>'STUDENT DETAILS'!D244</f>
        <v>0</v>
      </c>
      <c r="E247" s="94">
        <f>'STUDENT DETAILS'!E244</f>
        <v>0</v>
      </c>
      <c r="F247" s="66" t="b">
        <f t="shared" si="12"/>
        <v>0</v>
      </c>
      <c r="G247" s="66"/>
      <c r="H247" s="66"/>
      <c r="I247" s="66"/>
      <c r="J247" s="66"/>
      <c r="K247" s="66">
        <f t="shared" si="13"/>
        <v>0</v>
      </c>
      <c r="L247" s="66">
        <f t="shared" si="14"/>
        <v>0</v>
      </c>
      <c r="M247" s="66" t="str">
        <f t="shared" si="15"/>
        <v>UNPAID</v>
      </c>
    </row>
    <row r="248" spans="1:13" x14ac:dyDescent="0.3">
      <c r="A248" s="66">
        <f>'STUDENT DETAILS'!A245</f>
        <v>0</v>
      </c>
      <c r="B248" s="66">
        <f>'STUDENT DETAILS'!B245</f>
        <v>0</v>
      </c>
      <c r="C248" s="66">
        <f>'STUDENT DETAILS'!C245</f>
        <v>0</v>
      </c>
      <c r="D248" s="66">
        <f>'STUDENT DETAILS'!D245</f>
        <v>0</v>
      </c>
      <c r="E248" s="94">
        <f>'STUDENT DETAILS'!E245</f>
        <v>0</v>
      </c>
      <c r="F248" s="66" t="b">
        <f t="shared" si="12"/>
        <v>0</v>
      </c>
      <c r="G248" s="66"/>
      <c r="H248" s="66"/>
      <c r="I248" s="66"/>
      <c r="J248" s="66"/>
      <c r="K248" s="66">
        <f t="shared" si="13"/>
        <v>0</v>
      </c>
      <c r="L248" s="66">
        <f t="shared" si="14"/>
        <v>0</v>
      </c>
      <c r="M248" s="66" t="str">
        <f t="shared" si="15"/>
        <v>UNPAID</v>
      </c>
    </row>
    <row r="249" spans="1:13" x14ac:dyDescent="0.3">
      <c r="A249" s="66">
        <f>'STUDENT DETAILS'!A246</f>
        <v>0</v>
      </c>
      <c r="B249" s="66">
        <f>'STUDENT DETAILS'!B246</f>
        <v>0</v>
      </c>
      <c r="C249" s="66">
        <f>'STUDENT DETAILS'!C246</f>
        <v>0</v>
      </c>
      <c r="D249" s="66">
        <f>'STUDENT DETAILS'!D246</f>
        <v>0</v>
      </c>
      <c r="E249" s="94">
        <f>'STUDENT DETAILS'!E246</f>
        <v>0</v>
      </c>
      <c r="F249" s="66" t="b">
        <f t="shared" si="12"/>
        <v>0</v>
      </c>
      <c r="G249" s="66"/>
      <c r="H249" s="66"/>
      <c r="I249" s="66"/>
      <c r="J249" s="66"/>
      <c r="K249" s="66">
        <f t="shared" si="13"/>
        <v>0</v>
      </c>
      <c r="L249" s="66">
        <f t="shared" si="14"/>
        <v>0</v>
      </c>
      <c r="M249" s="66" t="str">
        <f t="shared" si="15"/>
        <v>UNPAID</v>
      </c>
    </row>
    <row r="250" spans="1:13" x14ac:dyDescent="0.3">
      <c r="A250" s="66">
        <f>'STUDENT DETAILS'!A247</f>
        <v>0</v>
      </c>
      <c r="B250" s="66">
        <f>'STUDENT DETAILS'!B247</f>
        <v>0</v>
      </c>
      <c r="C250" s="66">
        <f>'STUDENT DETAILS'!C247</f>
        <v>0</v>
      </c>
      <c r="D250" s="66">
        <f>'STUDENT DETAILS'!D247</f>
        <v>0</v>
      </c>
      <c r="E250" s="94">
        <f>'STUDENT DETAILS'!E247</f>
        <v>0</v>
      </c>
      <c r="F250" s="66" t="b">
        <f t="shared" si="12"/>
        <v>0</v>
      </c>
      <c r="G250" s="66"/>
      <c r="H250" s="66"/>
      <c r="I250" s="66"/>
      <c r="J250" s="66"/>
      <c r="K250" s="66">
        <f t="shared" si="13"/>
        <v>0</v>
      </c>
      <c r="L250" s="66">
        <f t="shared" si="14"/>
        <v>0</v>
      </c>
      <c r="M250" s="66" t="str">
        <f t="shared" si="15"/>
        <v>UNPAID</v>
      </c>
    </row>
    <row r="251" spans="1:13" x14ac:dyDescent="0.3">
      <c r="A251" s="66">
        <f>'STUDENT DETAILS'!A248</f>
        <v>0</v>
      </c>
      <c r="B251" s="66">
        <f>'STUDENT DETAILS'!B248</f>
        <v>0</v>
      </c>
      <c r="C251" s="66">
        <f>'STUDENT DETAILS'!C248</f>
        <v>0</v>
      </c>
      <c r="D251" s="66">
        <f>'STUDENT DETAILS'!D248</f>
        <v>0</v>
      </c>
      <c r="E251" s="94">
        <f>'STUDENT DETAILS'!E248</f>
        <v>0</v>
      </c>
      <c r="F251" s="66" t="b">
        <f t="shared" si="12"/>
        <v>0</v>
      </c>
      <c r="G251" s="66"/>
      <c r="H251" s="66"/>
      <c r="I251" s="66"/>
      <c r="J251" s="66"/>
      <c r="K251" s="66">
        <f t="shared" si="13"/>
        <v>0</v>
      </c>
      <c r="L251" s="66">
        <f t="shared" si="14"/>
        <v>0</v>
      </c>
      <c r="M251" s="66" t="str">
        <f t="shared" si="15"/>
        <v>UNPAID</v>
      </c>
    </row>
    <row r="252" spans="1:13" x14ac:dyDescent="0.3">
      <c r="A252" s="66">
        <f>'STUDENT DETAILS'!A249</f>
        <v>0</v>
      </c>
      <c r="B252" s="66">
        <f>'STUDENT DETAILS'!B249</f>
        <v>0</v>
      </c>
      <c r="C252" s="66">
        <f>'STUDENT DETAILS'!C249</f>
        <v>0</v>
      </c>
      <c r="D252" s="66">
        <f>'STUDENT DETAILS'!D249</f>
        <v>0</v>
      </c>
      <c r="E252" s="94">
        <f>'STUDENT DETAILS'!E249</f>
        <v>0</v>
      </c>
      <c r="F252" s="66" t="b">
        <f t="shared" si="12"/>
        <v>0</v>
      </c>
      <c r="G252" s="66"/>
      <c r="H252" s="66"/>
      <c r="I252" s="66"/>
      <c r="J252" s="66"/>
      <c r="K252" s="66">
        <f t="shared" si="13"/>
        <v>0</v>
      </c>
      <c r="L252" s="66">
        <f t="shared" si="14"/>
        <v>0</v>
      </c>
      <c r="M252" s="66" t="str">
        <f t="shared" si="15"/>
        <v>UNPAID</v>
      </c>
    </row>
    <row r="253" spans="1:13" x14ac:dyDescent="0.3">
      <c r="A253" s="66">
        <f>'STUDENT DETAILS'!A250</f>
        <v>0</v>
      </c>
      <c r="B253" s="66">
        <f>'STUDENT DETAILS'!B250</f>
        <v>0</v>
      </c>
      <c r="C253" s="66">
        <f>'STUDENT DETAILS'!C250</f>
        <v>0</v>
      </c>
      <c r="D253" s="66">
        <f>'STUDENT DETAILS'!D250</f>
        <v>0</v>
      </c>
      <c r="E253" s="94">
        <f>'STUDENT DETAILS'!E250</f>
        <v>0</v>
      </c>
      <c r="F253" s="66" t="b">
        <f t="shared" si="12"/>
        <v>0</v>
      </c>
      <c r="G253" s="66"/>
      <c r="H253" s="66"/>
      <c r="I253" s="66"/>
      <c r="J253" s="66"/>
      <c r="K253" s="66">
        <f t="shared" si="13"/>
        <v>0</v>
      </c>
      <c r="L253" s="66">
        <f t="shared" si="14"/>
        <v>0</v>
      </c>
      <c r="M253" s="66" t="str">
        <f t="shared" si="15"/>
        <v>UNPAID</v>
      </c>
    </row>
    <row r="254" spans="1:13" x14ac:dyDescent="0.3">
      <c r="A254" s="66">
        <f>'STUDENT DETAILS'!A251</f>
        <v>0</v>
      </c>
      <c r="B254" s="66">
        <f>'STUDENT DETAILS'!B251</f>
        <v>0</v>
      </c>
      <c r="C254" s="66">
        <f>'STUDENT DETAILS'!C251</f>
        <v>0</v>
      </c>
      <c r="D254" s="66">
        <f>'STUDENT DETAILS'!D251</f>
        <v>0</v>
      </c>
      <c r="E254" s="94">
        <f>'STUDENT DETAILS'!E251</f>
        <v>0</v>
      </c>
      <c r="F254" s="66" t="b">
        <f t="shared" si="12"/>
        <v>0</v>
      </c>
      <c r="G254" s="66"/>
      <c r="H254" s="66"/>
      <c r="I254" s="66"/>
      <c r="J254" s="66"/>
      <c r="K254" s="66">
        <f t="shared" si="13"/>
        <v>0</v>
      </c>
      <c r="L254" s="66">
        <f t="shared" si="14"/>
        <v>0</v>
      </c>
      <c r="M254" s="66" t="str">
        <f t="shared" si="15"/>
        <v>UNPAID</v>
      </c>
    </row>
    <row r="255" spans="1:13" x14ac:dyDescent="0.3">
      <c r="A255" s="66">
        <f>'STUDENT DETAILS'!A252</f>
        <v>0</v>
      </c>
      <c r="B255" s="66">
        <f>'STUDENT DETAILS'!B252</f>
        <v>0</v>
      </c>
      <c r="C255" s="66">
        <f>'STUDENT DETAILS'!C252</f>
        <v>0</v>
      </c>
      <c r="D255" s="66">
        <f>'STUDENT DETAILS'!D252</f>
        <v>0</v>
      </c>
      <c r="E255" s="94">
        <f>'STUDENT DETAILS'!E252</f>
        <v>0</v>
      </c>
      <c r="F255" s="66" t="b">
        <f t="shared" si="12"/>
        <v>0</v>
      </c>
      <c r="G255" s="66"/>
      <c r="H255" s="66"/>
      <c r="I255" s="66"/>
      <c r="J255" s="66"/>
      <c r="K255" s="66">
        <f t="shared" si="13"/>
        <v>0</v>
      </c>
      <c r="L255" s="66">
        <f t="shared" si="14"/>
        <v>0</v>
      </c>
      <c r="M255" s="66" t="str">
        <f t="shared" si="15"/>
        <v>UNPAID</v>
      </c>
    </row>
    <row r="256" spans="1:13" x14ac:dyDescent="0.3">
      <c r="A256" s="66">
        <f>'STUDENT DETAILS'!A253</f>
        <v>0</v>
      </c>
      <c r="B256" s="66">
        <f>'STUDENT DETAILS'!B253</f>
        <v>0</v>
      </c>
      <c r="C256" s="66">
        <f>'STUDENT DETAILS'!C253</f>
        <v>0</v>
      </c>
      <c r="D256" s="66">
        <f>'STUDENT DETAILS'!D253</f>
        <v>0</v>
      </c>
      <c r="E256" s="94">
        <f>'STUDENT DETAILS'!E253</f>
        <v>0</v>
      </c>
      <c r="F256" s="66" t="b">
        <f t="shared" si="12"/>
        <v>0</v>
      </c>
      <c r="G256" s="66"/>
      <c r="H256" s="66"/>
      <c r="I256" s="66"/>
      <c r="J256" s="66"/>
      <c r="K256" s="66">
        <f t="shared" si="13"/>
        <v>0</v>
      </c>
      <c r="L256" s="66">
        <f t="shared" si="14"/>
        <v>0</v>
      </c>
      <c r="M256" s="66" t="str">
        <f t="shared" si="15"/>
        <v>UNPAID</v>
      </c>
    </row>
    <row r="257" spans="1:13" x14ac:dyDescent="0.3">
      <c r="A257" s="66">
        <f>'STUDENT DETAILS'!A254</f>
        <v>0</v>
      </c>
      <c r="B257" s="66">
        <f>'STUDENT DETAILS'!B254</f>
        <v>0</v>
      </c>
      <c r="C257" s="66">
        <f>'STUDENT DETAILS'!C254</f>
        <v>0</v>
      </c>
      <c r="D257" s="66">
        <f>'STUDENT DETAILS'!D254</f>
        <v>0</v>
      </c>
      <c r="E257" s="94">
        <f>'STUDENT DETAILS'!E254</f>
        <v>0</v>
      </c>
      <c r="F257" s="66" t="b">
        <f t="shared" si="12"/>
        <v>0</v>
      </c>
      <c r="G257" s="66"/>
      <c r="H257" s="66"/>
      <c r="I257" s="66"/>
      <c r="J257" s="66"/>
      <c r="K257" s="66">
        <f t="shared" si="13"/>
        <v>0</v>
      </c>
      <c r="L257" s="66">
        <f t="shared" si="14"/>
        <v>0</v>
      </c>
      <c r="M257" s="66" t="str">
        <f t="shared" si="15"/>
        <v>UNPAID</v>
      </c>
    </row>
    <row r="258" spans="1:13" x14ac:dyDescent="0.3">
      <c r="A258" s="66">
        <f>'STUDENT DETAILS'!A255</f>
        <v>0</v>
      </c>
      <c r="B258" s="66">
        <f>'STUDENT DETAILS'!B255</f>
        <v>0</v>
      </c>
      <c r="C258" s="66">
        <f>'STUDENT DETAILS'!C255</f>
        <v>0</v>
      </c>
      <c r="D258" s="66">
        <f>'STUDENT DETAILS'!D255</f>
        <v>0</v>
      </c>
      <c r="E258" s="94">
        <f>'STUDENT DETAILS'!E255</f>
        <v>0</v>
      </c>
      <c r="F258" s="66" t="b">
        <f t="shared" si="12"/>
        <v>0</v>
      </c>
      <c r="G258" s="66"/>
      <c r="H258" s="66"/>
      <c r="I258" s="66"/>
      <c r="J258" s="66"/>
      <c r="K258" s="66">
        <f t="shared" si="13"/>
        <v>0</v>
      </c>
      <c r="L258" s="66">
        <f t="shared" si="14"/>
        <v>0</v>
      </c>
      <c r="M258" s="66" t="str">
        <f t="shared" si="15"/>
        <v>UNPAID</v>
      </c>
    </row>
    <row r="259" spans="1:13" x14ac:dyDescent="0.3">
      <c r="A259" s="66">
        <f>'STUDENT DETAILS'!A256</f>
        <v>0</v>
      </c>
      <c r="B259" s="66">
        <f>'STUDENT DETAILS'!B256</f>
        <v>0</v>
      </c>
      <c r="C259" s="66">
        <f>'STUDENT DETAILS'!C256</f>
        <v>0</v>
      </c>
      <c r="D259" s="66">
        <f>'STUDENT DETAILS'!D256</f>
        <v>0</v>
      </c>
      <c r="E259" s="94">
        <f>'STUDENT DETAILS'!E256</f>
        <v>0</v>
      </c>
      <c r="F259" s="66" t="b">
        <f t="shared" si="12"/>
        <v>0</v>
      </c>
      <c r="G259" s="66"/>
      <c r="H259" s="66"/>
      <c r="I259" s="66"/>
      <c r="J259" s="66"/>
      <c r="K259" s="66">
        <f t="shared" si="13"/>
        <v>0</v>
      </c>
      <c r="L259" s="66">
        <f t="shared" si="14"/>
        <v>0</v>
      </c>
      <c r="M259" s="66" t="str">
        <f t="shared" si="15"/>
        <v>UNPAID</v>
      </c>
    </row>
    <row r="260" spans="1:13" x14ac:dyDescent="0.3">
      <c r="A260" s="66">
        <f>'STUDENT DETAILS'!A257</f>
        <v>0</v>
      </c>
      <c r="B260" s="66">
        <f>'STUDENT DETAILS'!B257</f>
        <v>0</v>
      </c>
      <c r="C260" s="66">
        <f>'STUDENT DETAILS'!C257</f>
        <v>0</v>
      </c>
      <c r="D260" s="66">
        <f>'STUDENT DETAILS'!D257</f>
        <v>0</v>
      </c>
      <c r="E260" s="94">
        <f>'STUDENT DETAILS'!E257</f>
        <v>0</v>
      </c>
      <c r="F260" s="66" t="b">
        <f t="shared" si="12"/>
        <v>0</v>
      </c>
      <c r="G260" s="66"/>
      <c r="H260" s="66"/>
      <c r="I260" s="66"/>
      <c r="J260" s="66"/>
      <c r="K260" s="66">
        <f t="shared" si="13"/>
        <v>0</v>
      </c>
      <c r="L260" s="66">
        <f t="shared" si="14"/>
        <v>0</v>
      </c>
      <c r="M260" s="66" t="str">
        <f t="shared" si="15"/>
        <v>UNPAID</v>
      </c>
    </row>
    <row r="261" spans="1:13" x14ac:dyDescent="0.3">
      <c r="A261" s="66">
        <f>'STUDENT DETAILS'!A258</f>
        <v>0</v>
      </c>
      <c r="B261" s="66">
        <f>'STUDENT DETAILS'!B258</f>
        <v>0</v>
      </c>
      <c r="C261" s="66">
        <f>'STUDENT DETAILS'!C258</f>
        <v>0</v>
      </c>
      <c r="D261" s="66">
        <f>'STUDENT DETAILS'!D258</f>
        <v>0</v>
      </c>
      <c r="E261" s="94">
        <f>'STUDENT DETAILS'!E258</f>
        <v>0</v>
      </c>
      <c r="F261" s="66" t="b">
        <f t="shared" si="12"/>
        <v>0</v>
      </c>
      <c r="G261" s="66"/>
      <c r="H261" s="66"/>
      <c r="I261" s="66"/>
      <c r="J261" s="66"/>
      <c r="K261" s="66">
        <f t="shared" si="13"/>
        <v>0</v>
      </c>
      <c r="L261" s="66">
        <f t="shared" si="14"/>
        <v>0</v>
      </c>
      <c r="M261" s="66" t="str">
        <f t="shared" si="15"/>
        <v>UNPAID</v>
      </c>
    </row>
    <row r="262" spans="1:13" x14ac:dyDescent="0.3">
      <c r="A262" s="66">
        <f>'STUDENT DETAILS'!A259</f>
        <v>0</v>
      </c>
      <c r="B262" s="66">
        <f>'STUDENT DETAILS'!B259</f>
        <v>0</v>
      </c>
      <c r="C262" s="66">
        <f>'STUDENT DETAILS'!C259</f>
        <v>0</v>
      </c>
      <c r="D262" s="66">
        <f>'STUDENT DETAILS'!D259</f>
        <v>0</v>
      </c>
      <c r="E262" s="94">
        <f>'STUDENT DETAILS'!E259</f>
        <v>0</v>
      </c>
      <c r="F262" s="66" t="b">
        <f t="shared" si="12"/>
        <v>0</v>
      </c>
      <c r="G262" s="66"/>
      <c r="H262" s="66"/>
      <c r="I262" s="66"/>
      <c r="J262" s="66"/>
      <c r="K262" s="66">
        <f t="shared" si="13"/>
        <v>0</v>
      </c>
      <c r="L262" s="66">
        <f t="shared" si="14"/>
        <v>0</v>
      </c>
      <c r="M262" s="66" t="str">
        <f t="shared" si="15"/>
        <v>UNPAID</v>
      </c>
    </row>
    <row r="263" spans="1:13" x14ac:dyDescent="0.3">
      <c r="A263" s="66">
        <f>'STUDENT DETAILS'!A260</f>
        <v>0</v>
      </c>
      <c r="B263" s="66">
        <f>'STUDENT DETAILS'!B260</f>
        <v>0</v>
      </c>
      <c r="C263" s="66">
        <f>'STUDENT DETAILS'!C260</f>
        <v>0</v>
      </c>
      <c r="D263" s="66">
        <f>'STUDENT DETAILS'!D260</f>
        <v>0</v>
      </c>
      <c r="E263" s="94">
        <f>'STUDENT DETAILS'!E260</f>
        <v>0</v>
      </c>
      <c r="F263" s="66" t="b">
        <f t="shared" ref="F263:F326" si="16">IF(C263="LKG",2000,IF(C263="HKG",3000,IF(C263="1st",4000,IF(C263="2nd",5000,IF(C263="3rd",6000,IF(C263="4th",7000,IF(C263="5th",8000,IF(C263="6th",9000,IF(C263="7th",10000,IF(C263="8th",10500,IF(C263="9th",10700,IF(C263="10th",11000,IF(C263="",0)))))))))))))</f>
        <v>0</v>
      </c>
      <c r="G263" s="66"/>
      <c r="H263" s="66"/>
      <c r="I263" s="66"/>
      <c r="J263" s="66"/>
      <c r="K263" s="66">
        <f t="shared" ref="K263:K326" si="17">SUM(G263:J263)</f>
        <v>0</v>
      </c>
      <c r="L263" s="66">
        <f t="shared" ref="L263:L326" si="18">F263-K263</f>
        <v>0</v>
      </c>
      <c r="M263" s="66" t="str">
        <f t="shared" ref="M263:M326" si="19">IF(K263&gt;=F263,"COMPLETED","UNPAID")</f>
        <v>UNPAID</v>
      </c>
    </row>
    <row r="264" spans="1:13" x14ac:dyDescent="0.3">
      <c r="A264" s="66">
        <f>'STUDENT DETAILS'!A261</f>
        <v>0</v>
      </c>
      <c r="B264" s="66">
        <f>'STUDENT DETAILS'!B261</f>
        <v>0</v>
      </c>
      <c r="C264" s="66">
        <f>'STUDENT DETAILS'!C261</f>
        <v>0</v>
      </c>
      <c r="D264" s="66">
        <f>'STUDENT DETAILS'!D261</f>
        <v>0</v>
      </c>
      <c r="E264" s="94">
        <f>'STUDENT DETAILS'!E261</f>
        <v>0</v>
      </c>
      <c r="F264" s="66" t="b">
        <f t="shared" si="16"/>
        <v>0</v>
      </c>
      <c r="G264" s="66"/>
      <c r="H264" s="66"/>
      <c r="I264" s="66"/>
      <c r="J264" s="66"/>
      <c r="K264" s="66">
        <f t="shared" si="17"/>
        <v>0</v>
      </c>
      <c r="L264" s="66">
        <f t="shared" si="18"/>
        <v>0</v>
      </c>
      <c r="M264" s="66" t="str">
        <f t="shared" si="19"/>
        <v>UNPAID</v>
      </c>
    </row>
    <row r="265" spans="1:13" x14ac:dyDescent="0.3">
      <c r="A265" s="66">
        <f>'STUDENT DETAILS'!A262</f>
        <v>0</v>
      </c>
      <c r="B265" s="66">
        <f>'STUDENT DETAILS'!B262</f>
        <v>0</v>
      </c>
      <c r="C265" s="66">
        <f>'STUDENT DETAILS'!C262</f>
        <v>0</v>
      </c>
      <c r="D265" s="66">
        <f>'STUDENT DETAILS'!D262</f>
        <v>0</v>
      </c>
      <c r="E265" s="94">
        <f>'STUDENT DETAILS'!E262</f>
        <v>0</v>
      </c>
      <c r="F265" s="66" t="b">
        <f t="shared" si="16"/>
        <v>0</v>
      </c>
      <c r="G265" s="66"/>
      <c r="H265" s="66"/>
      <c r="I265" s="66"/>
      <c r="J265" s="66"/>
      <c r="K265" s="66">
        <f t="shared" si="17"/>
        <v>0</v>
      </c>
      <c r="L265" s="66">
        <f t="shared" si="18"/>
        <v>0</v>
      </c>
      <c r="M265" s="66" t="str">
        <f t="shared" si="19"/>
        <v>UNPAID</v>
      </c>
    </row>
    <row r="266" spans="1:13" x14ac:dyDescent="0.3">
      <c r="A266" s="66">
        <f>'STUDENT DETAILS'!A263</f>
        <v>0</v>
      </c>
      <c r="B266" s="66">
        <f>'STUDENT DETAILS'!B263</f>
        <v>0</v>
      </c>
      <c r="C266" s="66">
        <f>'STUDENT DETAILS'!C263</f>
        <v>0</v>
      </c>
      <c r="D266" s="66">
        <f>'STUDENT DETAILS'!D263</f>
        <v>0</v>
      </c>
      <c r="E266" s="94">
        <f>'STUDENT DETAILS'!E263</f>
        <v>0</v>
      </c>
      <c r="F266" s="66" t="b">
        <f t="shared" si="16"/>
        <v>0</v>
      </c>
      <c r="G266" s="66"/>
      <c r="H266" s="66"/>
      <c r="I266" s="66"/>
      <c r="J266" s="66"/>
      <c r="K266" s="66">
        <f t="shared" si="17"/>
        <v>0</v>
      </c>
      <c r="L266" s="66">
        <f t="shared" si="18"/>
        <v>0</v>
      </c>
      <c r="M266" s="66" t="str">
        <f t="shared" si="19"/>
        <v>UNPAID</v>
      </c>
    </row>
    <row r="267" spans="1:13" x14ac:dyDescent="0.3">
      <c r="A267" s="66">
        <f>'STUDENT DETAILS'!A264</f>
        <v>0</v>
      </c>
      <c r="B267" s="66">
        <f>'STUDENT DETAILS'!B264</f>
        <v>0</v>
      </c>
      <c r="C267" s="66">
        <f>'STUDENT DETAILS'!C264</f>
        <v>0</v>
      </c>
      <c r="D267" s="66">
        <f>'STUDENT DETAILS'!D264</f>
        <v>0</v>
      </c>
      <c r="E267" s="94">
        <f>'STUDENT DETAILS'!E264</f>
        <v>0</v>
      </c>
      <c r="F267" s="66" t="b">
        <f t="shared" si="16"/>
        <v>0</v>
      </c>
      <c r="G267" s="66"/>
      <c r="H267" s="66"/>
      <c r="I267" s="66"/>
      <c r="J267" s="66"/>
      <c r="K267" s="66">
        <f t="shared" si="17"/>
        <v>0</v>
      </c>
      <c r="L267" s="66">
        <f t="shared" si="18"/>
        <v>0</v>
      </c>
      <c r="M267" s="66" t="str">
        <f t="shared" si="19"/>
        <v>UNPAID</v>
      </c>
    </row>
    <row r="268" spans="1:13" x14ac:dyDescent="0.3">
      <c r="A268" s="66">
        <f>'STUDENT DETAILS'!A265</f>
        <v>0</v>
      </c>
      <c r="B268" s="66">
        <f>'STUDENT DETAILS'!B265</f>
        <v>0</v>
      </c>
      <c r="C268" s="66">
        <f>'STUDENT DETAILS'!C265</f>
        <v>0</v>
      </c>
      <c r="D268" s="66">
        <f>'STUDENT DETAILS'!D265</f>
        <v>0</v>
      </c>
      <c r="E268" s="94">
        <f>'STUDENT DETAILS'!E265</f>
        <v>0</v>
      </c>
      <c r="F268" s="66" t="b">
        <f t="shared" si="16"/>
        <v>0</v>
      </c>
      <c r="G268" s="66"/>
      <c r="H268" s="66"/>
      <c r="I268" s="66"/>
      <c r="J268" s="66"/>
      <c r="K268" s="66">
        <f t="shared" si="17"/>
        <v>0</v>
      </c>
      <c r="L268" s="66">
        <f t="shared" si="18"/>
        <v>0</v>
      </c>
      <c r="M268" s="66" t="str">
        <f t="shared" si="19"/>
        <v>UNPAID</v>
      </c>
    </row>
    <row r="269" spans="1:13" x14ac:dyDescent="0.3">
      <c r="A269" s="66">
        <f>'STUDENT DETAILS'!A266</f>
        <v>0</v>
      </c>
      <c r="B269" s="66">
        <f>'STUDENT DETAILS'!B266</f>
        <v>0</v>
      </c>
      <c r="C269" s="66">
        <f>'STUDENT DETAILS'!C266</f>
        <v>0</v>
      </c>
      <c r="D269" s="66">
        <f>'STUDENT DETAILS'!D266</f>
        <v>0</v>
      </c>
      <c r="E269" s="94">
        <f>'STUDENT DETAILS'!E266</f>
        <v>0</v>
      </c>
      <c r="F269" s="66" t="b">
        <f t="shared" si="16"/>
        <v>0</v>
      </c>
      <c r="G269" s="66"/>
      <c r="H269" s="66"/>
      <c r="I269" s="66"/>
      <c r="J269" s="66"/>
      <c r="K269" s="66">
        <f t="shared" si="17"/>
        <v>0</v>
      </c>
      <c r="L269" s="66">
        <f t="shared" si="18"/>
        <v>0</v>
      </c>
      <c r="M269" s="66" t="str">
        <f t="shared" si="19"/>
        <v>UNPAID</v>
      </c>
    </row>
    <row r="270" spans="1:13" x14ac:dyDescent="0.3">
      <c r="A270" s="66">
        <f>'STUDENT DETAILS'!A267</f>
        <v>0</v>
      </c>
      <c r="B270" s="66">
        <f>'STUDENT DETAILS'!B267</f>
        <v>0</v>
      </c>
      <c r="C270" s="66">
        <f>'STUDENT DETAILS'!C267</f>
        <v>0</v>
      </c>
      <c r="D270" s="66">
        <f>'STUDENT DETAILS'!D267</f>
        <v>0</v>
      </c>
      <c r="E270" s="94">
        <f>'STUDENT DETAILS'!E267</f>
        <v>0</v>
      </c>
      <c r="F270" s="66" t="b">
        <f t="shared" si="16"/>
        <v>0</v>
      </c>
      <c r="G270" s="66"/>
      <c r="H270" s="66"/>
      <c r="I270" s="66"/>
      <c r="J270" s="66"/>
      <c r="K270" s="66">
        <f t="shared" si="17"/>
        <v>0</v>
      </c>
      <c r="L270" s="66">
        <f t="shared" si="18"/>
        <v>0</v>
      </c>
      <c r="M270" s="66" t="str">
        <f t="shared" si="19"/>
        <v>UNPAID</v>
      </c>
    </row>
    <row r="271" spans="1:13" x14ac:dyDescent="0.3">
      <c r="A271" s="66">
        <f>'STUDENT DETAILS'!A268</f>
        <v>0</v>
      </c>
      <c r="B271" s="66">
        <f>'STUDENT DETAILS'!B268</f>
        <v>0</v>
      </c>
      <c r="C271" s="66">
        <f>'STUDENT DETAILS'!C268</f>
        <v>0</v>
      </c>
      <c r="D271" s="66">
        <f>'STUDENT DETAILS'!D268</f>
        <v>0</v>
      </c>
      <c r="E271" s="94">
        <f>'STUDENT DETAILS'!E268</f>
        <v>0</v>
      </c>
      <c r="F271" s="66" t="b">
        <f t="shared" si="16"/>
        <v>0</v>
      </c>
      <c r="G271" s="66"/>
      <c r="H271" s="66"/>
      <c r="I271" s="66"/>
      <c r="J271" s="66"/>
      <c r="K271" s="66">
        <f t="shared" si="17"/>
        <v>0</v>
      </c>
      <c r="L271" s="66">
        <f t="shared" si="18"/>
        <v>0</v>
      </c>
      <c r="M271" s="66" t="str">
        <f t="shared" si="19"/>
        <v>UNPAID</v>
      </c>
    </row>
    <row r="272" spans="1:13" x14ac:dyDescent="0.3">
      <c r="A272" s="66">
        <f>'STUDENT DETAILS'!A269</f>
        <v>0</v>
      </c>
      <c r="B272" s="66">
        <f>'STUDENT DETAILS'!B269</f>
        <v>0</v>
      </c>
      <c r="C272" s="66">
        <f>'STUDENT DETAILS'!C269</f>
        <v>0</v>
      </c>
      <c r="D272" s="66">
        <f>'STUDENT DETAILS'!D269</f>
        <v>0</v>
      </c>
      <c r="E272" s="94">
        <f>'STUDENT DETAILS'!E269</f>
        <v>0</v>
      </c>
      <c r="F272" s="66" t="b">
        <f t="shared" si="16"/>
        <v>0</v>
      </c>
      <c r="G272" s="66"/>
      <c r="H272" s="66"/>
      <c r="I272" s="66"/>
      <c r="J272" s="66"/>
      <c r="K272" s="66">
        <f t="shared" si="17"/>
        <v>0</v>
      </c>
      <c r="L272" s="66">
        <f t="shared" si="18"/>
        <v>0</v>
      </c>
      <c r="M272" s="66" t="str">
        <f t="shared" si="19"/>
        <v>UNPAID</v>
      </c>
    </row>
    <row r="273" spans="1:13" x14ac:dyDescent="0.3">
      <c r="A273" s="66">
        <f>'STUDENT DETAILS'!A270</f>
        <v>0</v>
      </c>
      <c r="B273" s="66">
        <f>'STUDENT DETAILS'!B270</f>
        <v>0</v>
      </c>
      <c r="C273" s="66">
        <f>'STUDENT DETAILS'!C270</f>
        <v>0</v>
      </c>
      <c r="D273" s="66">
        <f>'STUDENT DETAILS'!D270</f>
        <v>0</v>
      </c>
      <c r="E273" s="94">
        <f>'STUDENT DETAILS'!E270</f>
        <v>0</v>
      </c>
      <c r="F273" s="66" t="b">
        <f t="shared" si="16"/>
        <v>0</v>
      </c>
      <c r="G273" s="66"/>
      <c r="H273" s="66"/>
      <c r="I273" s="66"/>
      <c r="J273" s="66"/>
      <c r="K273" s="66">
        <f t="shared" si="17"/>
        <v>0</v>
      </c>
      <c r="L273" s="66">
        <f t="shared" si="18"/>
        <v>0</v>
      </c>
      <c r="M273" s="66" t="str">
        <f t="shared" si="19"/>
        <v>UNPAID</v>
      </c>
    </row>
    <row r="274" spans="1:13" x14ac:dyDescent="0.3">
      <c r="A274" s="66">
        <f>'STUDENT DETAILS'!A271</f>
        <v>0</v>
      </c>
      <c r="B274" s="66">
        <f>'STUDENT DETAILS'!B271</f>
        <v>0</v>
      </c>
      <c r="C274" s="66">
        <f>'STUDENT DETAILS'!C271</f>
        <v>0</v>
      </c>
      <c r="D274" s="66">
        <f>'STUDENT DETAILS'!D271</f>
        <v>0</v>
      </c>
      <c r="E274" s="94">
        <f>'STUDENT DETAILS'!E271</f>
        <v>0</v>
      </c>
      <c r="F274" s="66" t="b">
        <f t="shared" si="16"/>
        <v>0</v>
      </c>
      <c r="G274" s="66"/>
      <c r="H274" s="66"/>
      <c r="I274" s="66"/>
      <c r="J274" s="66"/>
      <c r="K274" s="66">
        <f t="shared" si="17"/>
        <v>0</v>
      </c>
      <c r="L274" s="66">
        <f t="shared" si="18"/>
        <v>0</v>
      </c>
      <c r="M274" s="66" t="str">
        <f t="shared" si="19"/>
        <v>UNPAID</v>
      </c>
    </row>
    <row r="275" spans="1:13" x14ac:dyDescent="0.3">
      <c r="A275" s="66">
        <f>'STUDENT DETAILS'!A272</f>
        <v>0</v>
      </c>
      <c r="B275" s="66">
        <f>'STUDENT DETAILS'!B272</f>
        <v>0</v>
      </c>
      <c r="C275" s="66">
        <f>'STUDENT DETAILS'!C272</f>
        <v>0</v>
      </c>
      <c r="D275" s="66">
        <f>'STUDENT DETAILS'!D272</f>
        <v>0</v>
      </c>
      <c r="E275" s="94">
        <f>'STUDENT DETAILS'!E272</f>
        <v>0</v>
      </c>
      <c r="F275" s="66" t="b">
        <f t="shared" si="16"/>
        <v>0</v>
      </c>
      <c r="G275" s="66"/>
      <c r="H275" s="66"/>
      <c r="I275" s="66"/>
      <c r="J275" s="66"/>
      <c r="K275" s="66">
        <f t="shared" si="17"/>
        <v>0</v>
      </c>
      <c r="L275" s="66">
        <f t="shared" si="18"/>
        <v>0</v>
      </c>
      <c r="M275" s="66" t="str">
        <f t="shared" si="19"/>
        <v>UNPAID</v>
      </c>
    </row>
    <row r="276" spans="1:13" x14ac:dyDescent="0.3">
      <c r="A276" s="66">
        <f>'STUDENT DETAILS'!A273</f>
        <v>0</v>
      </c>
      <c r="B276" s="66">
        <f>'STUDENT DETAILS'!B273</f>
        <v>0</v>
      </c>
      <c r="C276" s="66">
        <f>'STUDENT DETAILS'!C273</f>
        <v>0</v>
      </c>
      <c r="D276" s="66">
        <f>'STUDENT DETAILS'!D273</f>
        <v>0</v>
      </c>
      <c r="E276" s="94">
        <f>'STUDENT DETAILS'!E273</f>
        <v>0</v>
      </c>
      <c r="F276" s="66" t="b">
        <f t="shared" si="16"/>
        <v>0</v>
      </c>
      <c r="G276" s="66"/>
      <c r="H276" s="66"/>
      <c r="I276" s="66"/>
      <c r="J276" s="66"/>
      <c r="K276" s="66">
        <f t="shared" si="17"/>
        <v>0</v>
      </c>
      <c r="L276" s="66">
        <f t="shared" si="18"/>
        <v>0</v>
      </c>
      <c r="M276" s="66" t="str">
        <f t="shared" si="19"/>
        <v>UNPAID</v>
      </c>
    </row>
    <row r="277" spans="1:13" x14ac:dyDescent="0.3">
      <c r="A277" s="66">
        <f>'STUDENT DETAILS'!A274</f>
        <v>0</v>
      </c>
      <c r="B277" s="66">
        <f>'STUDENT DETAILS'!B274</f>
        <v>0</v>
      </c>
      <c r="C277" s="66">
        <f>'STUDENT DETAILS'!C274</f>
        <v>0</v>
      </c>
      <c r="D277" s="66">
        <f>'STUDENT DETAILS'!D274</f>
        <v>0</v>
      </c>
      <c r="E277" s="94">
        <f>'STUDENT DETAILS'!E274</f>
        <v>0</v>
      </c>
      <c r="F277" s="66" t="b">
        <f t="shared" si="16"/>
        <v>0</v>
      </c>
      <c r="G277" s="66"/>
      <c r="H277" s="66"/>
      <c r="I277" s="66"/>
      <c r="J277" s="66"/>
      <c r="K277" s="66">
        <f t="shared" si="17"/>
        <v>0</v>
      </c>
      <c r="L277" s="66">
        <f t="shared" si="18"/>
        <v>0</v>
      </c>
      <c r="M277" s="66" t="str">
        <f t="shared" si="19"/>
        <v>UNPAID</v>
      </c>
    </row>
    <row r="278" spans="1:13" x14ac:dyDescent="0.3">
      <c r="A278" s="66">
        <f>'STUDENT DETAILS'!A275</f>
        <v>0</v>
      </c>
      <c r="B278" s="66">
        <f>'STUDENT DETAILS'!B275</f>
        <v>0</v>
      </c>
      <c r="C278" s="66">
        <f>'STUDENT DETAILS'!C275</f>
        <v>0</v>
      </c>
      <c r="D278" s="66">
        <f>'STUDENT DETAILS'!D275</f>
        <v>0</v>
      </c>
      <c r="E278" s="94">
        <f>'STUDENT DETAILS'!E275</f>
        <v>0</v>
      </c>
      <c r="F278" s="66" t="b">
        <f t="shared" si="16"/>
        <v>0</v>
      </c>
      <c r="G278" s="66"/>
      <c r="H278" s="66"/>
      <c r="I278" s="66"/>
      <c r="J278" s="66"/>
      <c r="K278" s="66">
        <f t="shared" si="17"/>
        <v>0</v>
      </c>
      <c r="L278" s="66">
        <f t="shared" si="18"/>
        <v>0</v>
      </c>
      <c r="M278" s="66" t="str">
        <f t="shared" si="19"/>
        <v>UNPAID</v>
      </c>
    </row>
    <row r="279" spans="1:13" x14ac:dyDescent="0.3">
      <c r="A279" s="66">
        <f>'STUDENT DETAILS'!A276</f>
        <v>0</v>
      </c>
      <c r="B279" s="66">
        <f>'STUDENT DETAILS'!B276</f>
        <v>0</v>
      </c>
      <c r="C279" s="66">
        <f>'STUDENT DETAILS'!C276</f>
        <v>0</v>
      </c>
      <c r="D279" s="66">
        <f>'STUDENT DETAILS'!D276</f>
        <v>0</v>
      </c>
      <c r="E279" s="94">
        <f>'STUDENT DETAILS'!E276</f>
        <v>0</v>
      </c>
      <c r="F279" s="66" t="b">
        <f t="shared" si="16"/>
        <v>0</v>
      </c>
      <c r="G279" s="66"/>
      <c r="H279" s="66"/>
      <c r="I279" s="66"/>
      <c r="J279" s="66"/>
      <c r="K279" s="66">
        <f t="shared" si="17"/>
        <v>0</v>
      </c>
      <c r="L279" s="66">
        <f t="shared" si="18"/>
        <v>0</v>
      </c>
      <c r="M279" s="66" t="str">
        <f t="shared" si="19"/>
        <v>UNPAID</v>
      </c>
    </row>
    <row r="280" spans="1:13" x14ac:dyDescent="0.3">
      <c r="A280" s="66">
        <f>'STUDENT DETAILS'!A277</f>
        <v>0</v>
      </c>
      <c r="B280" s="66">
        <f>'STUDENT DETAILS'!B277</f>
        <v>0</v>
      </c>
      <c r="C280" s="66">
        <f>'STUDENT DETAILS'!C277</f>
        <v>0</v>
      </c>
      <c r="D280" s="66">
        <f>'STUDENT DETAILS'!D277</f>
        <v>0</v>
      </c>
      <c r="E280" s="94">
        <f>'STUDENT DETAILS'!E277</f>
        <v>0</v>
      </c>
      <c r="F280" s="66" t="b">
        <f t="shared" si="16"/>
        <v>0</v>
      </c>
      <c r="G280" s="66"/>
      <c r="H280" s="66"/>
      <c r="I280" s="66"/>
      <c r="J280" s="66"/>
      <c r="K280" s="66">
        <f t="shared" si="17"/>
        <v>0</v>
      </c>
      <c r="L280" s="66">
        <f t="shared" si="18"/>
        <v>0</v>
      </c>
      <c r="M280" s="66" t="str">
        <f t="shared" si="19"/>
        <v>UNPAID</v>
      </c>
    </row>
    <row r="281" spans="1:13" x14ac:dyDescent="0.3">
      <c r="A281" s="66">
        <f>'STUDENT DETAILS'!A278</f>
        <v>0</v>
      </c>
      <c r="B281" s="66">
        <f>'STUDENT DETAILS'!B278</f>
        <v>0</v>
      </c>
      <c r="C281" s="66">
        <f>'STUDENT DETAILS'!C278</f>
        <v>0</v>
      </c>
      <c r="D281" s="66">
        <f>'STUDENT DETAILS'!D278</f>
        <v>0</v>
      </c>
      <c r="E281" s="94">
        <f>'STUDENT DETAILS'!E278</f>
        <v>0</v>
      </c>
      <c r="F281" s="66" t="b">
        <f t="shared" si="16"/>
        <v>0</v>
      </c>
      <c r="G281" s="66"/>
      <c r="H281" s="66"/>
      <c r="I281" s="66"/>
      <c r="J281" s="66"/>
      <c r="K281" s="66">
        <f t="shared" si="17"/>
        <v>0</v>
      </c>
      <c r="L281" s="66">
        <f t="shared" si="18"/>
        <v>0</v>
      </c>
      <c r="M281" s="66" t="str">
        <f t="shared" si="19"/>
        <v>UNPAID</v>
      </c>
    </row>
    <row r="282" spans="1:13" x14ac:dyDescent="0.3">
      <c r="A282" s="66">
        <f>'STUDENT DETAILS'!A279</f>
        <v>0</v>
      </c>
      <c r="B282" s="66">
        <f>'STUDENT DETAILS'!B279</f>
        <v>0</v>
      </c>
      <c r="C282" s="66">
        <f>'STUDENT DETAILS'!C279</f>
        <v>0</v>
      </c>
      <c r="D282" s="66">
        <f>'STUDENT DETAILS'!D279</f>
        <v>0</v>
      </c>
      <c r="E282" s="94">
        <f>'STUDENT DETAILS'!E279</f>
        <v>0</v>
      </c>
      <c r="F282" s="66" t="b">
        <f t="shared" si="16"/>
        <v>0</v>
      </c>
      <c r="G282" s="66"/>
      <c r="H282" s="66"/>
      <c r="I282" s="66"/>
      <c r="J282" s="66"/>
      <c r="K282" s="66">
        <f t="shared" si="17"/>
        <v>0</v>
      </c>
      <c r="L282" s="66">
        <f t="shared" si="18"/>
        <v>0</v>
      </c>
      <c r="M282" s="66" t="str">
        <f t="shared" si="19"/>
        <v>UNPAID</v>
      </c>
    </row>
    <row r="283" spans="1:13" x14ac:dyDescent="0.3">
      <c r="A283" s="66">
        <f>'STUDENT DETAILS'!A280</f>
        <v>0</v>
      </c>
      <c r="B283" s="66">
        <f>'STUDENT DETAILS'!B280</f>
        <v>0</v>
      </c>
      <c r="C283" s="66">
        <f>'STUDENT DETAILS'!C280</f>
        <v>0</v>
      </c>
      <c r="D283" s="66">
        <f>'STUDENT DETAILS'!D280</f>
        <v>0</v>
      </c>
      <c r="E283" s="94">
        <f>'STUDENT DETAILS'!E280</f>
        <v>0</v>
      </c>
      <c r="F283" s="66" t="b">
        <f t="shared" si="16"/>
        <v>0</v>
      </c>
      <c r="G283" s="66"/>
      <c r="H283" s="66"/>
      <c r="I283" s="66"/>
      <c r="J283" s="66"/>
      <c r="K283" s="66">
        <f t="shared" si="17"/>
        <v>0</v>
      </c>
      <c r="L283" s="66">
        <f t="shared" si="18"/>
        <v>0</v>
      </c>
      <c r="M283" s="66" t="str">
        <f t="shared" si="19"/>
        <v>UNPAID</v>
      </c>
    </row>
    <row r="284" spans="1:13" x14ac:dyDescent="0.3">
      <c r="A284" s="66">
        <f>'STUDENT DETAILS'!A281</f>
        <v>0</v>
      </c>
      <c r="B284" s="66">
        <f>'STUDENT DETAILS'!B281</f>
        <v>0</v>
      </c>
      <c r="C284" s="66">
        <f>'STUDENT DETAILS'!C281</f>
        <v>0</v>
      </c>
      <c r="D284" s="66">
        <f>'STUDENT DETAILS'!D281</f>
        <v>0</v>
      </c>
      <c r="E284" s="94">
        <f>'STUDENT DETAILS'!E281</f>
        <v>0</v>
      </c>
      <c r="F284" s="66" t="b">
        <f t="shared" si="16"/>
        <v>0</v>
      </c>
      <c r="G284" s="66"/>
      <c r="H284" s="66"/>
      <c r="I284" s="66"/>
      <c r="J284" s="66"/>
      <c r="K284" s="66">
        <f t="shared" si="17"/>
        <v>0</v>
      </c>
      <c r="L284" s="66">
        <f t="shared" si="18"/>
        <v>0</v>
      </c>
      <c r="M284" s="66" t="str">
        <f t="shared" si="19"/>
        <v>UNPAID</v>
      </c>
    </row>
    <row r="285" spans="1:13" x14ac:dyDescent="0.3">
      <c r="A285" s="66">
        <f>'STUDENT DETAILS'!A282</f>
        <v>0</v>
      </c>
      <c r="B285" s="66">
        <f>'STUDENT DETAILS'!B282</f>
        <v>0</v>
      </c>
      <c r="C285" s="66">
        <f>'STUDENT DETAILS'!C282</f>
        <v>0</v>
      </c>
      <c r="D285" s="66">
        <f>'STUDENT DETAILS'!D282</f>
        <v>0</v>
      </c>
      <c r="E285" s="94">
        <f>'STUDENT DETAILS'!E282</f>
        <v>0</v>
      </c>
      <c r="F285" s="66" t="b">
        <f t="shared" si="16"/>
        <v>0</v>
      </c>
      <c r="G285" s="66"/>
      <c r="H285" s="66"/>
      <c r="I285" s="66"/>
      <c r="J285" s="66"/>
      <c r="K285" s="66">
        <f t="shared" si="17"/>
        <v>0</v>
      </c>
      <c r="L285" s="66">
        <f t="shared" si="18"/>
        <v>0</v>
      </c>
      <c r="M285" s="66" t="str">
        <f t="shared" si="19"/>
        <v>UNPAID</v>
      </c>
    </row>
    <row r="286" spans="1:13" x14ac:dyDescent="0.3">
      <c r="A286" s="66">
        <f>'STUDENT DETAILS'!A283</f>
        <v>0</v>
      </c>
      <c r="B286" s="66">
        <f>'STUDENT DETAILS'!B283</f>
        <v>0</v>
      </c>
      <c r="C286" s="66">
        <f>'STUDENT DETAILS'!C283</f>
        <v>0</v>
      </c>
      <c r="D286" s="66">
        <f>'STUDENT DETAILS'!D283</f>
        <v>0</v>
      </c>
      <c r="E286" s="94">
        <f>'STUDENT DETAILS'!E283</f>
        <v>0</v>
      </c>
      <c r="F286" s="66" t="b">
        <f t="shared" si="16"/>
        <v>0</v>
      </c>
      <c r="G286" s="66"/>
      <c r="H286" s="66"/>
      <c r="I286" s="66"/>
      <c r="J286" s="66"/>
      <c r="K286" s="66">
        <f t="shared" si="17"/>
        <v>0</v>
      </c>
      <c r="L286" s="66">
        <f t="shared" si="18"/>
        <v>0</v>
      </c>
      <c r="M286" s="66" t="str">
        <f t="shared" si="19"/>
        <v>UNPAID</v>
      </c>
    </row>
    <row r="287" spans="1:13" x14ac:dyDescent="0.3">
      <c r="A287" s="66">
        <f>'STUDENT DETAILS'!A284</f>
        <v>0</v>
      </c>
      <c r="B287" s="66">
        <f>'STUDENT DETAILS'!B284</f>
        <v>0</v>
      </c>
      <c r="C287" s="66">
        <f>'STUDENT DETAILS'!C284</f>
        <v>0</v>
      </c>
      <c r="D287" s="66">
        <f>'STUDENT DETAILS'!D284</f>
        <v>0</v>
      </c>
      <c r="E287" s="94">
        <f>'STUDENT DETAILS'!E284</f>
        <v>0</v>
      </c>
      <c r="F287" s="66" t="b">
        <f t="shared" si="16"/>
        <v>0</v>
      </c>
      <c r="G287" s="66"/>
      <c r="H287" s="66"/>
      <c r="I287" s="66"/>
      <c r="J287" s="66"/>
      <c r="K287" s="66">
        <f t="shared" si="17"/>
        <v>0</v>
      </c>
      <c r="L287" s="66">
        <f t="shared" si="18"/>
        <v>0</v>
      </c>
      <c r="M287" s="66" t="str">
        <f t="shared" si="19"/>
        <v>UNPAID</v>
      </c>
    </row>
    <row r="288" spans="1:13" x14ac:dyDescent="0.3">
      <c r="A288" s="66">
        <f>'STUDENT DETAILS'!A285</f>
        <v>0</v>
      </c>
      <c r="B288" s="66">
        <f>'STUDENT DETAILS'!B285</f>
        <v>0</v>
      </c>
      <c r="C288" s="66">
        <f>'STUDENT DETAILS'!C285</f>
        <v>0</v>
      </c>
      <c r="D288" s="66">
        <f>'STUDENT DETAILS'!D285</f>
        <v>0</v>
      </c>
      <c r="E288" s="94">
        <f>'STUDENT DETAILS'!E285</f>
        <v>0</v>
      </c>
      <c r="F288" s="66" t="b">
        <f t="shared" si="16"/>
        <v>0</v>
      </c>
      <c r="G288" s="66"/>
      <c r="H288" s="66"/>
      <c r="I288" s="66"/>
      <c r="J288" s="66"/>
      <c r="K288" s="66">
        <f t="shared" si="17"/>
        <v>0</v>
      </c>
      <c r="L288" s="66">
        <f t="shared" si="18"/>
        <v>0</v>
      </c>
      <c r="M288" s="66" t="str">
        <f t="shared" si="19"/>
        <v>UNPAID</v>
      </c>
    </row>
    <row r="289" spans="1:13" x14ac:dyDescent="0.3">
      <c r="A289" s="66">
        <f>'STUDENT DETAILS'!A286</f>
        <v>0</v>
      </c>
      <c r="B289" s="66">
        <f>'STUDENT DETAILS'!B286</f>
        <v>0</v>
      </c>
      <c r="C289" s="66">
        <f>'STUDENT DETAILS'!C286</f>
        <v>0</v>
      </c>
      <c r="D289" s="66">
        <f>'STUDENT DETAILS'!D286</f>
        <v>0</v>
      </c>
      <c r="E289" s="94">
        <f>'STUDENT DETAILS'!E286</f>
        <v>0</v>
      </c>
      <c r="F289" s="66" t="b">
        <f t="shared" si="16"/>
        <v>0</v>
      </c>
      <c r="G289" s="66"/>
      <c r="H289" s="66"/>
      <c r="I289" s="66"/>
      <c r="J289" s="66"/>
      <c r="K289" s="66">
        <f t="shared" si="17"/>
        <v>0</v>
      </c>
      <c r="L289" s="66">
        <f t="shared" si="18"/>
        <v>0</v>
      </c>
      <c r="M289" s="66" t="str">
        <f t="shared" si="19"/>
        <v>UNPAID</v>
      </c>
    </row>
    <row r="290" spans="1:13" x14ac:dyDescent="0.3">
      <c r="A290" s="66">
        <f>'STUDENT DETAILS'!A287</f>
        <v>0</v>
      </c>
      <c r="B290" s="66">
        <f>'STUDENT DETAILS'!B287</f>
        <v>0</v>
      </c>
      <c r="C290" s="66">
        <f>'STUDENT DETAILS'!C287</f>
        <v>0</v>
      </c>
      <c r="D290" s="66">
        <f>'STUDENT DETAILS'!D287</f>
        <v>0</v>
      </c>
      <c r="E290" s="94">
        <f>'STUDENT DETAILS'!E287</f>
        <v>0</v>
      </c>
      <c r="F290" s="66" t="b">
        <f t="shared" si="16"/>
        <v>0</v>
      </c>
      <c r="G290" s="66"/>
      <c r="H290" s="66"/>
      <c r="I290" s="66"/>
      <c r="J290" s="66"/>
      <c r="K290" s="66">
        <f t="shared" si="17"/>
        <v>0</v>
      </c>
      <c r="L290" s="66">
        <f t="shared" si="18"/>
        <v>0</v>
      </c>
      <c r="M290" s="66" t="str">
        <f t="shared" si="19"/>
        <v>UNPAID</v>
      </c>
    </row>
    <row r="291" spans="1:13" x14ac:dyDescent="0.3">
      <c r="A291" s="66">
        <f>'STUDENT DETAILS'!A288</f>
        <v>0</v>
      </c>
      <c r="B291" s="66">
        <f>'STUDENT DETAILS'!B288</f>
        <v>0</v>
      </c>
      <c r="C291" s="66">
        <f>'STUDENT DETAILS'!C288</f>
        <v>0</v>
      </c>
      <c r="D291" s="66">
        <f>'STUDENT DETAILS'!D288</f>
        <v>0</v>
      </c>
      <c r="E291" s="94">
        <f>'STUDENT DETAILS'!E288</f>
        <v>0</v>
      </c>
      <c r="F291" s="66" t="b">
        <f t="shared" si="16"/>
        <v>0</v>
      </c>
      <c r="G291" s="66"/>
      <c r="H291" s="66"/>
      <c r="I291" s="66"/>
      <c r="J291" s="66"/>
      <c r="K291" s="66">
        <f t="shared" si="17"/>
        <v>0</v>
      </c>
      <c r="L291" s="66">
        <f t="shared" si="18"/>
        <v>0</v>
      </c>
      <c r="M291" s="66" t="str">
        <f t="shared" si="19"/>
        <v>UNPAID</v>
      </c>
    </row>
    <row r="292" spans="1:13" x14ac:dyDescent="0.3">
      <c r="A292" s="66">
        <f>'STUDENT DETAILS'!A289</f>
        <v>0</v>
      </c>
      <c r="B292" s="66">
        <f>'STUDENT DETAILS'!B289</f>
        <v>0</v>
      </c>
      <c r="C292" s="66">
        <f>'STUDENT DETAILS'!C289</f>
        <v>0</v>
      </c>
      <c r="D292" s="66">
        <f>'STUDENT DETAILS'!D289</f>
        <v>0</v>
      </c>
      <c r="E292" s="94">
        <f>'STUDENT DETAILS'!E289</f>
        <v>0</v>
      </c>
      <c r="F292" s="66" t="b">
        <f t="shared" si="16"/>
        <v>0</v>
      </c>
      <c r="G292" s="66"/>
      <c r="H292" s="66"/>
      <c r="I292" s="66"/>
      <c r="J292" s="66"/>
      <c r="K292" s="66">
        <f t="shared" si="17"/>
        <v>0</v>
      </c>
      <c r="L292" s="66">
        <f t="shared" si="18"/>
        <v>0</v>
      </c>
      <c r="M292" s="66" t="str">
        <f t="shared" si="19"/>
        <v>UNPAID</v>
      </c>
    </row>
    <row r="293" spans="1:13" x14ac:dyDescent="0.3">
      <c r="A293" s="66">
        <f>'STUDENT DETAILS'!A290</f>
        <v>0</v>
      </c>
      <c r="B293" s="66">
        <f>'STUDENT DETAILS'!B290</f>
        <v>0</v>
      </c>
      <c r="C293" s="66">
        <f>'STUDENT DETAILS'!C290</f>
        <v>0</v>
      </c>
      <c r="D293" s="66">
        <f>'STUDENT DETAILS'!D290</f>
        <v>0</v>
      </c>
      <c r="E293" s="94">
        <f>'STUDENT DETAILS'!E290</f>
        <v>0</v>
      </c>
      <c r="F293" s="66" t="b">
        <f t="shared" si="16"/>
        <v>0</v>
      </c>
      <c r="G293" s="66"/>
      <c r="H293" s="66"/>
      <c r="I293" s="66"/>
      <c r="J293" s="66"/>
      <c r="K293" s="66">
        <f t="shared" si="17"/>
        <v>0</v>
      </c>
      <c r="L293" s="66">
        <f t="shared" si="18"/>
        <v>0</v>
      </c>
      <c r="M293" s="66" t="str">
        <f t="shared" si="19"/>
        <v>UNPAID</v>
      </c>
    </row>
    <row r="294" spans="1:13" x14ac:dyDescent="0.3">
      <c r="A294" s="66">
        <f>'STUDENT DETAILS'!A291</f>
        <v>0</v>
      </c>
      <c r="B294" s="66">
        <f>'STUDENT DETAILS'!B291</f>
        <v>0</v>
      </c>
      <c r="C294" s="66">
        <f>'STUDENT DETAILS'!C291</f>
        <v>0</v>
      </c>
      <c r="D294" s="66">
        <f>'STUDENT DETAILS'!D291</f>
        <v>0</v>
      </c>
      <c r="E294" s="94">
        <f>'STUDENT DETAILS'!E291</f>
        <v>0</v>
      </c>
      <c r="F294" s="66" t="b">
        <f t="shared" si="16"/>
        <v>0</v>
      </c>
      <c r="G294" s="66"/>
      <c r="H294" s="66"/>
      <c r="I294" s="66"/>
      <c r="J294" s="66"/>
      <c r="K294" s="66">
        <f t="shared" si="17"/>
        <v>0</v>
      </c>
      <c r="L294" s="66">
        <f t="shared" si="18"/>
        <v>0</v>
      </c>
      <c r="M294" s="66" t="str">
        <f t="shared" si="19"/>
        <v>UNPAID</v>
      </c>
    </row>
    <row r="295" spans="1:13" x14ac:dyDescent="0.3">
      <c r="A295" s="66">
        <f>'STUDENT DETAILS'!A292</f>
        <v>0</v>
      </c>
      <c r="B295" s="66">
        <f>'STUDENT DETAILS'!B292</f>
        <v>0</v>
      </c>
      <c r="C295" s="66">
        <f>'STUDENT DETAILS'!C292</f>
        <v>0</v>
      </c>
      <c r="D295" s="66">
        <f>'STUDENT DETAILS'!D292</f>
        <v>0</v>
      </c>
      <c r="E295" s="94">
        <f>'STUDENT DETAILS'!E292</f>
        <v>0</v>
      </c>
      <c r="F295" s="66" t="b">
        <f t="shared" si="16"/>
        <v>0</v>
      </c>
      <c r="G295" s="66"/>
      <c r="H295" s="66"/>
      <c r="I295" s="66"/>
      <c r="J295" s="66"/>
      <c r="K295" s="66">
        <f t="shared" si="17"/>
        <v>0</v>
      </c>
      <c r="L295" s="66">
        <f t="shared" si="18"/>
        <v>0</v>
      </c>
      <c r="M295" s="66" t="str">
        <f t="shared" si="19"/>
        <v>UNPAID</v>
      </c>
    </row>
    <row r="296" spans="1:13" x14ac:dyDescent="0.3">
      <c r="A296" s="66">
        <f>'STUDENT DETAILS'!A293</f>
        <v>0</v>
      </c>
      <c r="B296" s="66">
        <f>'STUDENT DETAILS'!B293</f>
        <v>0</v>
      </c>
      <c r="C296" s="66">
        <f>'STUDENT DETAILS'!C293</f>
        <v>0</v>
      </c>
      <c r="D296" s="66">
        <f>'STUDENT DETAILS'!D293</f>
        <v>0</v>
      </c>
      <c r="E296" s="94">
        <f>'STUDENT DETAILS'!E293</f>
        <v>0</v>
      </c>
      <c r="F296" s="66" t="b">
        <f t="shared" si="16"/>
        <v>0</v>
      </c>
      <c r="G296" s="66"/>
      <c r="H296" s="66"/>
      <c r="I296" s="66"/>
      <c r="J296" s="66"/>
      <c r="K296" s="66">
        <f t="shared" si="17"/>
        <v>0</v>
      </c>
      <c r="L296" s="66">
        <f t="shared" si="18"/>
        <v>0</v>
      </c>
      <c r="M296" s="66" t="str">
        <f t="shared" si="19"/>
        <v>UNPAID</v>
      </c>
    </row>
    <row r="297" spans="1:13" x14ac:dyDescent="0.3">
      <c r="A297" s="66">
        <f>'STUDENT DETAILS'!A294</f>
        <v>0</v>
      </c>
      <c r="B297" s="66">
        <f>'STUDENT DETAILS'!B294</f>
        <v>0</v>
      </c>
      <c r="C297" s="66">
        <f>'STUDENT DETAILS'!C294</f>
        <v>0</v>
      </c>
      <c r="D297" s="66">
        <f>'STUDENT DETAILS'!D294</f>
        <v>0</v>
      </c>
      <c r="E297" s="94">
        <f>'STUDENT DETAILS'!E294</f>
        <v>0</v>
      </c>
      <c r="F297" s="66" t="b">
        <f t="shared" si="16"/>
        <v>0</v>
      </c>
      <c r="G297" s="66"/>
      <c r="H297" s="66"/>
      <c r="I297" s="66"/>
      <c r="J297" s="66"/>
      <c r="K297" s="66">
        <f t="shared" si="17"/>
        <v>0</v>
      </c>
      <c r="L297" s="66">
        <f t="shared" si="18"/>
        <v>0</v>
      </c>
      <c r="M297" s="66" t="str">
        <f t="shared" si="19"/>
        <v>UNPAID</v>
      </c>
    </row>
    <row r="298" spans="1:13" x14ac:dyDescent="0.3">
      <c r="A298" s="66">
        <f>'STUDENT DETAILS'!A295</f>
        <v>0</v>
      </c>
      <c r="B298" s="66">
        <f>'STUDENT DETAILS'!B295</f>
        <v>0</v>
      </c>
      <c r="C298" s="66">
        <f>'STUDENT DETAILS'!C295</f>
        <v>0</v>
      </c>
      <c r="D298" s="66">
        <f>'STUDENT DETAILS'!D295</f>
        <v>0</v>
      </c>
      <c r="E298" s="94">
        <f>'STUDENT DETAILS'!E295</f>
        <v>0</v>
      </c>
      <c r="F298" s="66" t="b">
        <f t="shared" si="16"/>
        <v>0</v>
      </c>
      <c r="G298" s="66"/>
      <c r="H298" s="66"/>
      <c r="I298" s="66"/>
      <c r="J298" s="66"/>
      <c r="K298" s="66">
        <f t="shared" si="17"/>
        <v>0</v>
      </c>
      <c r="L298" s="66">
        <f t="shared" si="18"/>
        <v>0</v>
      </c>
      <c r="M298" s="66" t="str">
        <f t="shared" si="19"/>
        <v>UNPAID</v>
      </c>
    </row>
    <row r="299" spans="1:13" x14ac:dyDescent="0.3">
      <c r="A299" s="66">
        <f>'STUDENT DETAILS'!A296</f>
        <v>0</v>
      </c>
      <c r="B299" s="66">
        <f>'STUDENT DETAILS'!B296</f>
        <v>0</v>
      </c>
      <c r="C299" s="66">
        <f>'STUDENT DETAILS'!C296</f>
        <v>0</v>
      </c>
      <c r="D299" s="66">
        <f>'STUDENT DETAILS'!D296</f>
        <v>0</v>
      </c>
      <c r="E299" s="94">
        <f>'STUDENT DETAILS'!E296</f>
        <v>0</v>
      </c>
      <c r="F299" s="66" t="b">
        <f t="shared" si="16"/>
        <v>0</v>
      </c>
      <c r="G299" s="66"/>
      <c r="H299" s="66"/>
      <c r="I299" s="66"/>
      <c r="J299" s="66"/>
      <c r="K299" s="66">
        <f t="shared" si="17"/>
        <v>0</v>
      </c>
      <c r="L299" s="66">
        <f t="shared" si="18"/>
        <v>0</v>
      </c>
      <c r="M299" s="66" t="str">
        <f t="shared" si="19"/>
        <v>UNPAID</v>
      </c>
    </row>
    <row r="300" spans="1:13" x14ac:dyDescent="0.3">
      <c r="A300" s="66">
        <f>'STUDENT DETAILS'!A297</f>
        <v>0</v>
      </c>
      <c r="B300" s="66">
        <f>'STUDENT DETAILS'!B297</f>
        <v>0</v>
      </c>
      <c r="C300" s="66">
        <f>'STUDENT DETAILS'!C297</f>
        <v>0</v>
      </c>
      <c r="D300" s="66">
        <f>'STUDENT DETAILS'!D297</f>
        <v>0</v>
      </c>
      <c r="E300" s="94">
        <f>'STUDENT DETAILS'!E297</f>
        <v>0</v>
      </c>
      <c r="F300" s="66" t="b">
        <f t="shared" si="16"/>
        <v>0</v>
      </c>
      <c r="G300" s="66"/>
      <c r="H300" s="66"/>
      <c r="I300" s="66"/>
      <c r="J300" s="66"/>
      <c r="K300" s="66">
        <f t="shared" si="17"/>
        <v>0</v>
      </c>
      <c r="L300" s="66">
        <f t="shared" si="18"/>
        <v>0</v>
      </c>
      <c r="M300" s="66" t="str">
        <f t="shared" si="19"/>
        <v>UNPAID</v>
      </c>
    </row>
    <row r="301" spans="1:13" x14ac:dyDescent="0.3">
      <c r="A301" s="66">
        <f>'STUDENT DETAILS'!A298</f>
        <v>0</v>
      </c>
      <c r="B301" s="66">
        <f>'STUDENT DETAILS'!B298</f>
        <v>0</v>
      </c>
      <c r="C301" s="66">
        <f>'STUDENT DETAILS'!C298</f>
        <v>0</v>
      </c>
      <c r="D301" s="66">
        <f>'STUDENT DETAILS'!D298</f>
        <v>0</v>
      </c>
      <c r="E301" s="94">
        <f>'STUDENT DETAILS'!E298</f>
        <v>0</v>
      </c>
      <c r="F301" s="66" t="b">
        <f t="shared" si="16"/>
        <v>0</v>
      </c>
      <c r="G301" s="66"/>
      <c r="H301" s="66"/>
      <c r="I301" s="66"/>
      <c r="J301" s="66"/>
      <c r="K301" s="66">
        <f t="shared" si="17"/>
        <v>0</v>
      </c>
      <c r="L301" s="66">
        <f t="shared" si="18"/>
        <v>0</v>
      </c>
      <c r="M301" s="66" t="str">
        <f t="shared" si="19"/>
        <v>UNPAID</v>
      </c>
    </row>
    <row r="302" spans="1:13" x14ac:dyDescent="0.3">
      <c r="A302" s="66">
        <f>'STUDENT DETAILS'!A299</f>
        <v>0</v>
      </c>
      <c r="B302" s="66">
        <f>'STUDENT DETAILS'!B299</f>
        <v>0</v>
      </c>
      <c r="C302" s="66">
        <f>'STUDENT DETAILS'!C299</f>
        <v>0</v>
      </c>
      <c r="D302" s="66">
        <f>'STUDENT DETAILS'!D299</f>
        <v>0</v>
      </c>
      <c r="E302" s="94">
        <f>'STUDENT DETAILS'!E299</f>
        <v>0</v>
      </c>
      <c r="F302" s="66" t="b">
        <f t="shared" si="16"/>
        <v>0</v>
      </c>
      <c r="G302" s="66"/>
      <c r="H302" s="66"/>
      <c r="I302" s="66"/>
      <c r="J302" s="66"/>
      <c r="K302" s="66">
        <f t="shared" si="17"/>
        <v>0</v>
      </c>
      <c r="L302" s="66">
        <f t="shared" si="18"/>
        <v>0</v>
      </c>
      <c r="M302" s="66" t="str">
        <f t="shared" si="19"/>
        <v>UNPAID</v>
      </c>
    </row>
    <row r="303" spans="1:13" x14ac:dyDescent="0.3">
      <c r="A303" s="66">
        <f>'STUDENT DETAILS'!A300</f>
        <v>0</v>
      </c>
      <c r="B303" s="66">
        <f>'STUDENT DETAILS'!B300</f>
        <v>0</v>
      </c>
      <c r="C303" s="66">
        <f>'STUDENT DETAILS'!C300</f>
        <v>0</v>
      </c>
      <c r="D303" s="66">
        <f>'STUDENT DETAILS'!D300</f>
        <v>0</v>
      </c>
      <c r="E303" s="94">
        <f>'STUDENT DETAILS'!E300</f>
        <v>0</v>
      </c>
      <c r="F303" s="66" t="b">
        <f t="shared" si="16"/>
        <v>0</v>
      </c>
      <c r="G303" s="66"/>
      <c r="H303" s="66"/>
      <c r="I303" s="66"/>
      <c r="J303" s="66"/>
      <c r="K303" s="66">
        <f t="shared" si="17"/>
        <v>0</v>
      </c>
      <c r="L303" s="66">
        <f t="shared" si="18"/>
        <v>0</v>
      </c>
      <c r="M303" s="66" t="str">
        <f t="shared" si="19"/>
        <v>UNPAID</v>
      </c>
    </row>
    <row r="304" spans="1:13" x14ac:dyDescent="0.3">
      <c r="A304" s="66">
        <f>'STUDENT DETAILS'!A301</f>
        <v>0</v>
      </c>
      <c r="B304" s="66">
        <f>'STUDENT DETAILS'!B301</f>
        <v>0</v>
      </c>
      <c r="C304" s="66">
        <f>'STUDENT DETAILS'!C301</f>
        <v>0</v>
      </c>
      <c r="D304" s="66">
        <f>'STUDENT DETAILS'!D301</f>
        <v>0</v>
      </c>
      <c r="E304" s="94">
        <f>'STUDENT DETAILS'!E301</f>
        <v>0</v>
      </c>
      <c r="F304" s="66" t="b">
        <f t="shared" si="16"/>
        <v>0</v>
      </c>
      <c r="G304" s="66"/>
      <c r="H304" s="66"/>
      <c r="I304" s="66"/>
      <c r="J304" s="66"/>
      <c r="K304" s="66">
        <f t="shared" si="17"/>
        <v>0</v>
      </c>
      <c r="L304" s="66">
        <f t="shared" si="18"/>
        <v>0</v>
      </c>
      <c r="M304" s="66" t="str">
        <f t="shared" si="19"/>
        <v>UNPAID</v>
      </c>
    </row>
    <row r="305" spans="1:13" x14ac:dyDescent="0.3">
      <c r="A305" s="66">
        <f>'STUDENT DETAILS'!A302</f>
        <v>0</v>
      </c>
      <c r="B305" s="66">
        <f>'STUDENT DETAILS'!B302</f>
        <v>0</v>
      </c>
      <c r="C305" s="66">
        <f>'STUDENT DETAILS'!C302</f>
        <v>0</v>
      </c>
      <c r="D305" s="66">
        <f>'STUDENT DETAILS'!D302</f>
        <v>0</v>
      </c>
      <c r="E305" s="94">
        <f>'STUDENT DETAILS'!E302</f>
        <v>0</v>
      </c>
      <c r="F305" s="66" t="b">
        <f t="shared" si="16"/>
        <v>0</v>
      </c>
      <c r="G305" s="66"/>
      <c r="H305" s="66"/>
      <c r="I305" s="66"/>
      <c r="J305" s="66"/>
      <c r="K305" s="66">
        <f t="shared" si="17"/>
        <v>0</v>
      </c>
      <c r="L305" s="66">
        <f t="shared" si="18"/>
        <v>0</v>
      </c>
      <c r="M305" s="66" t="str">
        <f t="shared" si="19"/>
        <v>UNPAID</v>
      </c>
    </row>
    <row r="306" spans="1:13" x14ac:dyDescent="0.3">
      <c r="A306" s="66">
        <f>'STUDENT DETAILS'!A303</f>
        <v>0</v>
      </c>
      <c r="B306" s="66">
        <f>'STUDENT DETAILS'!B303</f>
        <v>0</v>
      </c>
      <c r="C306" s="66">
        <f>'STUDENT DETAILS'!C303</f>
        <v>0</v>
      </c>
      <c r="D306" s="66">
        <f>'STUDENT DETAILS'!D303</f>
        <v>0</v>
      </c>
      <c r="E306" s="94">
        <f>'STUDENT DETAILS'!E303</f>
        <v>0</v>
      </c>
      <c r="F306" s="66" t="b">
        <f t="shared" si="16"/>
        <v>0</v>
      </c>
      <c r="G306" s="66"/>
      <c r="H306" s="66"/>
      <c r="I306" s="66"/>
      <c r="J306" s="66"/>
      <c r="K306" s="66">
        <f t="shared" si="17"/>
        <v>0</v>
      </c>
      <c r="L306" s="66">
        <f t="shared" si="18"/>
        <v>0</v>
      </c>
      <c r="M306" s="66" t="str">
        <f t="shared" si="19"/>
        <v>UNPAID</v>
      </c>
    </row>
    <row r="307" spans="1:13" x14ac:dyDescent="0.3">
      <c r="A307" s="66">
        <f>'STUDENT DETAILS'!A304</f>
        <v>0</v>
      </c>
      <c r="B307" s="66">
        <f>'STUDENT DETAILS'!B304</f>
        <v>0</v>
      </c>
      <c r="C307" s="66">
        <f>'STUDENT DETAILS'!C304</f>
        <v>0</v>
      </c>
      <c r="D307" s="66">
        <f>'STUDENT DETAILS'!D304</f>
        <v>0</v>
      </c>
      <c r="E307" s="94">
        <f>'STUDENT DETAILS'!E304</f>
        <v>0</v>
      </c>
      <c r="F307" s="66" t="b">
        <f t="shared" si="16"/>
        <v>0</v>
      </c>
      <c r="G307" s="66"/>
      <c r="H307" s="66"/>
      <c r="I307" s="66"/>
      <c r="J307" s="66"/>
      <c r="K307" s="66">
        <f t="shared" si="17"/>
        <v>0</v>
      </c>
      <c r="L307" s="66">
        <f t="shared" si="18"/>
        <v>0</v>
      </c>
      <c r="M307" s="66" t="str">
        <f t="shared" si="19"/>
        <v>UNPAID</v>
      </c>
    </row>
    <row r="308" spans="1:13" x14ac:dyDescent="0.3">
      <c r="A308" s="66">
        <f>'STUDENT DETAILS'!A305</f>
        <v>0</v>
      </c>
      <c r="B308" s="66">
        <f>'STUDENT DETAILS'!B305</f>
        <v>0</v>
      </c>
      <c r="C308" s="66">
        <f>'STUDENT DETAILS'!C305</f>
        <v>0</v>
      </c>
      <c r="D308" s="66">
        <f>'STUDENT DETAILS'!D305</f>
        <v>0</v>
      </c>
      <c r="E308" s="94">
        <f>'STUDENT DETAILS'!E305</f>
        <v>0</v>
      </c>
      <c r="F308" s="66" t="b">
        <f t="shared" si="16"/>
        <v>0</v>
      </c>
      <c r="G308" s="66"/>
      <c r="H308" s="66"/>
      <c r="I308" s="66"/>
      <c r="J308" s="66"/>
      <c r="K308" s="66">
        <f t="shared" si="17"/>
        <v>0</v>
      </c>
      <c r="L308" s="66">
        <f t="shared" si="18"/>
        <v>0</v>
      </c>
      <c r="M308" s="66" t="str">
        <f t="shared" si="19"/>
        <v>UNPAID</v>
      </c>
    </row>
    <row r="309" spans="1:13" x14ac:dyDescent="0.3">
      <c r="A309" s="66">
        <f>'STUDENT DETAILS'!A306</f>
        <v>0</v>
      </c>
      <c r="B309" s="66">
        <f>'STUDENT DETAILS'!B306</f>
        <v>0</v>
      </c>
      <c r="C309" s="66">
        <f>'STUDENT DETAILS'!C306</f>
        <v>0</v>
      </c>
      <c r="D309" s="66">
        <f>'STUDENT DETAILS'!D306</f>
        <v>0</v>
      </c>
      <c r="E309" s="94">
        <f>'STUDENT DETAILS'!E306</f>
        <v>0</v>
      </c>
      <c r="F309" s="66" t="b">
        <f t="shared" si="16"/>
        <v>0</v>
      </c>
      <c r="G309" s="66"/>
      <c r="H309" s="66"/>
      <c r="I309" s="66"/>
      <c r="J309" s="66"/>
      <c r="K309" s="66">
        <f t="shared" si="17"/>
        <v>0</v>
      </c>
      <c r="L309" s="66">
        <f t="shared" si="18"/>
        <v>0</v>
      </c>
      <c r="M309" s="66" t="str">
        <f t="shared" si="19"/>
        <v>UNPAID</v>
      </c>
    </row>
    <row r="310" spans="1:13" x14ac:dyDescent="0.3">
      <c r="A310" s="66">
        <f>'STUDENT DETAILS'!A307</f>
        <v>0</v>
      </c>
      <c r="B310" s="66">
        <f>'STUDENT DETAILS'!B307</f>
        <v>0</v>
      </c>
      <c r="C310" s="66">
        <f>'STUDENT DETAILS'!C307</f>
        <v>0</v>
      </c>
      <c r="D310" s="66">
        <f>'STUDENT DETAILS'!D307</f>
        <v>0</v>
      </c>
      <c r="E310" s="94">
        <f>'STUDENT DETAILS'!E307</f>
        <v>0</v>
      </c>
      <c r="F310" s="66" t="b">
        <f t="shared" si="16"/>
        <v>0</v>
      </c>
      <c r="G310" s="66"/>
      <c r="H310" s="66"/>
      <c r="I310" s="66"/>
      <c r="J310" s="66"/>
      <c r="K310" s="66">
        <f t="shared" si="17"/>
        <v>0</v>
      </c>
      <c r="L310" s="66">
        <f t="shared" si="18"/>
        <v>0</v>
      </c>
      <c r="M310" s="66" t="str">
        <f t="shared" si="19"/>
        <v>UNPAID</v>
      </c>
    </row>
    <row r="311" spans="1:13" x14ac:dyDescent="0.3">
      <c r="A311" s="66">
        <f>'STUDENT DETAILS'!A308</f>
        <v>0</v>
      </c>
      <c r="B311" s="66">
        <f>'STUDENT DETAILS'!B308</f>
        <v>0</v>
      </c>
      <c r="C311" s="66">
        <f>'STUDENT DETAILS'!C308</f>
        <v>0</v>
      </c>
      <c r="D311" s="66">
        <f>'STUDENT DETAILS'!D308</f>
        <v>0</v>
      </c>
      <c r="E311" s="94">
        <f>'STUDENT DETAILS'!E308</f>
        <v>0</v>
      </c>
      <c r="F311" s="66" t="b">
        <f t="shared" si="16"/>
        <v>0</v>
      </c>
      <c r="G311" s="66"/>
      <c r="H311" s="66"/>
      <c r="I311" s="66"/>
      <c r="J311" s="66"/>
      <c r="K311" s="66">
        <f t="shared" si="17"/>
        <v>0</v>
      </c>
      <c r="L311" s="66">
        <f t="shared" si="18"/>
        <v>0</v>
      </c>
      <c r="M311" s="66" t="str">
        <f t="shared" si="19"/>
        <v>UNPAID</v>
      </c>
    </row>
    <row r="312" spans="1:13" x14ac:dyDescent="0.3">
      <c r="A312" s="66">
        <f>'STUDENT DETAILS'!A309</f>
        <v>0</v>
      </c>
      <c r="B312" s="66">
        <f>'STUDENT DETAILS'!B309</f>
        <v>0</v>
      </c>
      <c r="C312" s="66">
        <f>'STUDENT DETAILS'!C309</f>
        <v>0</v>
      </c>
      <c r="D312" s="66">
        <f>'STUDENT DETAILS'!D309</f>
        <v>0</v>
      </c>
      <c r="E312" s="94">
        <f>'STUDENT DETAILS'!E309</f>
        <v>0</v>
      </c>
      <c r="F312" s="66" t="b">
        <f t="shared" si="16"/>
        <v>0</v>
      </c>
      <c r="G312" s="66"/>
      <c r="H312" s="66"/>
      <c r="I312" s="66"/>
      <c r="J312" s="66"/>
      <c r="K312" s="66">
        <f t="shared" si="17"/>
        <v>0</v>
      </c>
      <c r="L312" s="66">
        <f t="shared" si="18"/>
        <v>0</v>
      </c>
      <c r="M312" s="66" t="str">
        <f t="shared" si="19"/>
        <v>UNPAID</v>
      </c>
    </row>
    <row r="313" spans="1:13" x14ac:dyDescent="0.3">
      <c r="A313" s="66">
        <f>'STUDENT DETAILS'!A310</f>
        <v>0</v>
      </c>
      <c r="B313" s="66">
        <f>'STUDENT DETAILS'!B310</f>
        <v>0</v>
      </c>
      <c r="C313" s="66">
        <f>'STUDENT DETAILS'!C310</f>
        <v>0</v>
      </c>
      <c r="D313" s="66">
        <f>'STUDENT DETAILS'!D310</f>
        <v>0</v>
      </c>
      <c r="E313" s="94">
        <f>'STUDENT DETAILS'!E310</f>
        <v>0</v>
      </c>
      <c r="F313" s="66" t="b">
        <f t="shared" si="16"/>
        <v>0</v>
      </c>
      <c r="G313" s="66"/>
      <c r="H313" s="66"/>
      <c r="I313" s="66"/>
      <c r="J313" s="66"/>
      <c r="K313" s="66">
        <f t="shared" si="17"/>
        <v>0</v>
      </c>
      <c r="L313" s="66">
        <f t="shared" si="18"/>
        <v>0</v>
      </c>
      <c r="M313" s="66" t="str">
        <f t="shared" si="19"/>
        <v>UNPAID</v>
      </c>
    </row>
    <row r="314" spans="1:13" x14ac:dyDescent="0.3">
      <c r="A314" s="66">
        <f>'STUDENT DETAILS'!A311</f>
        <v>0</v>
      </c>
      <c r="B314" s="66">
        <f>'STUDENT DETAILS'!B311</f>
        <v>0</v>
      </c>
      <c r="C314" s="66">
        <f>'STUDENT DETAILS'!C311</f>
        <v>0</v>
      </c>
      <c r="D314" s="66">
        <f>'STUDENT DETAILS'!D311</f>
        <v>0</v>
      </c>
      <c r="E314" s="94">
        <f>'STUDENT DETAILS'!E311</f>
        <v>0</v>
      </c>
      <c r="F314" s="66" t="b">
        <f t="shared" si="16"/>
        <v>0</v>
      </c>
      <c r="G314" s="66"/>
      <c r="H314" s="66"/>
      <c r="I314" s="66"/>
      <c r="J314" s="66"/>
      <c r="K314" s="66">
        <f t="shared" si="17"/>
        <v>0</v>
      </c>
      <c r="L314" s="66">
        <f t="shared" si="18"/>
        <v>0</v>
      </c>
      <c r="M314" s="66" t="str">
        <f t="shared" si="19"/>
        <v>UNPAID</v>
      </c>
    </row>
    <row r="315" spans="1:13" x14ac:dyDescent="0.3">
      <c r="A315" s="66">
        <f>'STUDENT DETAILS'!A312</f>
        <v>0</v>
      </c>
      <c r="B315" s="66">
        <f>'STUDENT DETAILS'!B312</f>
        <v>0</v>
      </c>
      <c r="C315" s="66">
        <f>'STUDENT DETAILS'!C312</f>
        <v>0</v>
      </c>
      <c r="D315" s="66">
        <f>'STUDENT DETAILS'!D312</f>
        <v>0</v>
      </c>
      <c r="E315" s="94">
        <f>'STUDENT DETAILS'!E312</f>
        <v>0</v>
      </c>
      <c r="F315" s="66" t="b">
        <f t="shared" si="16"/>
        <v>0</v>
      </c>
      <c r="G315" s="66"/>
      <c r="H315" s="66"/>
      <c r="I315" s="66"/>
      <c r="J315" s="66"/>
      <c r="K315" s="66">
        <f t="shared" si="17"/>
        <v>0</v>
      </c>
      <c r="L315" s="66">
        <f t="shared" si="18"/>
        <v>0</v>
      </c>
      <c r="M315" s="66" t="str">
        <f t="shared" si="19"/>
        <v>UNPAID</v>
      </c>
    </row>
    <row r="316" spans="1:13" x14ac:dyDescent="0.3">
      <c r="A316" s="66">
        <f>'STUDENT DETAILS'!A313</f>
        <v>0</v>
      </c>
      <c r="B316" s="66">
        <f>'STUDENT DETAILS'!B313</f>
        <v>0</v>
      </c>
      <c r="C316" s="66">
        <f>'STUDENT DETAILS'!C313</f>
        <v>0</v>
      </c>
      <c r="D316" s="66">
        <f>'STUDENT DETAILS'!D313</f>
        <v>0</v>
      </c>
      <c r="E316" s="94">
        <f>'STUDENT DETAILS'!E313</f>
        <v>0</v>
      </c>
      <c r="F316" s="66" t="b">
        <f t="shared" si="16"/>
        <v>0</v>
      </c>
      <c r="G316" s="66"/>
      <c r="H316" s="66"/>
      <c r="I316" s="66"/>
      <c r="J316" s="66"/>
      <c r="K316" s="66">
        <f t="shared" si="17"/>
        <v>0</v>
      </c>
      <c r="L316" s="66">
        <f t="shared" si="18"/>
        <v>0</v>
      </c>
      <c r="M316" s="66" t="str">
        <f t="shared" si="19"/>
        <v>UNPAID</v>
      </c>
    </row>
    <row r="317" spans="1:13" x14ac:dyDescent="0.3">
      <c r="A317" s="66">
        <f>'STUDENT DETAILS'!A314</f>
        <v>0</v>
      </c>
      <c r="B317" s="66">
        <f>'STUDENT DETAILS'!B314</f>
        <v>0</v>
      </c>
      <c r="C317" s="66">
        <f>'STUDENT DETAILS'!C314</f>
        <v>0</v>
      </c>
      <c r="D317" s="66">
        <f>'STUDENT DETAILS'!D314</f>
        <v>0</v>
      </c>
      <c r="E317" s="94">
        <f>'STUDENT DETAILS'!E314</f>
        <v>0</v>
      </c>
      <c r="F317" s="66" t="b">
        <f t="shared" si="16"/>
        <v>0</v>
      </c>
      <c r="G317" s="66"/>
      <c r="H317" s="66"/>
      <c r="I317" s="66"/>
      <c r="J317" s="66"/>
      <c r="K317" s="66">
        <f t="shared" si="17"/>
        <v>0</v>
      </c>
      <c r="L317" s="66">
        <f t="shared" si="18"/>
        <v>0</v>
      </c>
      <c r="M317" s="66" t="str">
        <f t="shared" si="19"/>
        <v>UNPAID</v>
      </c>
    </row>
    <row r="318" spans="1:13" x14ac:dyDescent="0.3">
      <c r="A318" s="66">
        <f>'STUDENT DETAILS'!A315</f>
        <v>0</v>
      </c>
      <c r="B318" s="66">
        <f>'STUDENT DETAILS'!B315</f>
        <v>0</v>
      </c>
      <c r="C318" s="66">
        <f>'STUDENT DETAILS'!C315</f>
        <v>0</v>
      </c>
      <c r="D318" s="66">
        <f>'STUDENT DETAILS'!D315</f>
        <v>0</v>
      </c>
      <c r="E318" s="94">
        <f>'STUDENT DETAILS'!E315</f>
        <v>0</v>
      </c>
      <c r="F318" s="66" t="b">
        <f t="shared" si="16"/>
        <v>0</v>
      </c>
      <c r="G318" s="66"/>
      <c r="H318" s="66"/>
      <c r="I318" s="66"/>
      <c r="J318" s="66"/>
      <c r="K318" s="66">
        <f t="shared" si="17"/>
        <v>0</v>
      </c>
      <c r="L318" s="66">
        <f t="shared" si="18"/>
        <v>0</v>
      </c>
      <c r="M318" s="66" t="str">
        <f t="shared" si="19"/>
        <v>UNPAID</v>
      </c>
    </row>
    <row r="319" spans="1:13" x14ac:dyDescent="0.3">
      <c r="A319" s="66">
        <f>'STUDENT DETAILS'!A316</f>
        <v>0</v>
      </c>
      <c r="B319" s="66">
        <f>'STUDENT DETAILS'!B316</f>
        <v>0</v>
      </c>
      <c r="C319" s="66">
        <f>'STUDENT DETAILS'!C316</f>
        <v>0</v>
      </c>
      <c r="D319" s="66">
        <f>'STUDENT DETAILS'!D316</f>
        <v>0</v>
      </c>
      <c r="E319" s="94">
        <f>'STUDENT DETAILS'!E316</f>
        <v>0</v>
      </c>
      <c r="F319" s="66" t="b">
        <f t="shared" si="16"/>
        <v>0</v>
      </c>
      <c r="G319" s="66"/>
      <c r="H319" s="66"/>
      <c r="I319" s="66"/>
      <c r="J319" s="66"/>
      <c r="K319" s="66">
        <f t="shared" si="17"/>
        <v>0</v>
      </c>
      <c r="L319" s="66">
        <f t="shared" si="18"/>
        <v>0</v>
      </c>
      <c r="M319" s="66" t="str">
        <f t="shared" si="19"/>
        <v>UNPAID</v>
      </c>
    </row>
    <row r="320" spans="1:13" x14ac:dyDescent="0.3">
      <c r="A320" s="66">
        <f>'STUDENT DETAILS'!A317</f>
        <v>0</v>
      </c>
      <c r="B320" s="66">
        <f>'STUDENT DETAILS'!B317</f>
        <v>0</v>
      </c>
      <c r="C320" s="66">
        <f>'STUDENT DETAILS'!C317</f>
        <v>0</v>
      </c>
      <c r="D320" s="66">
        <f>'STUDENT DETAILS'!D317</f>
        <v>0</v>
      </c>
      <c r="E320" s="94">
        <f>'STUDENT DETAILS'!E317</f>
        <v>0</v>
      </c>
      <c r="F320" s="66" t="b">
        <f t="shared" si="16"/>
        <v>0</v>
      </c>
      <c r="G320" s="66"/>
      <c r="H320" s="66"/>
      <c r="I320" s="66"/>
      <c r="J320" s="66"/>
      <c r="K320" s="66">
        <f t="shared" si="17"/>
        <v>0</v>
      </c>
      <c r="L320" s="66">
        <f t="shared" si="18"/>
        <v>0</v>
      </c>
      <c r="M320" s="66" t="str">
        <f t="shared" si="19"/>
        <v>UNPAID</v>
      </c>
    </row>
    <row r="321" spans="1:13" x14ac:dyDescent="0.3">
      <c r="A321" s="66">
        <f>'STUDENT DETAILS'!A318</f>
        <v>0</v>
      </c>
      <c r="B321" s="66">
        <f>'STUDENT DETAILS'!B318</f>
        <v>0</v>
      </c>
      <c r="C321" s="66">
        <f>'STUDENT DETAILS'!C318</f>
        <v>0</v>
      </c>
      <c r="D321" s="66">
        <f>'STUDENT DETAILS'!D318</f>
        <v>0</v>
      </c>
      <c r="E321" s="94">
        <f>'STUDENT DETAILS'!E318</f>
        <v>0</v>
      </c>
      <c r="F321" s="66" t="b">
        <f t="shared" si="16"/>
        <v>0</v>
      </c>
      <c r="G321" s="66"/>
      <c r="H321" s="66"/>
      <c r="I321" s="66"/>
      <c r="J321" s="66"/>
      <c r="K321" s="66">
        <f t="shared" si="17"/>
        <v>0</v>
      </c>
      <c r="L321" s="66">
        <f t="shared" si="18"/>
        <v>0</v>
      </c>
      <c r="M321" s="66" t="str">
        <f t="shared" si="19"/>
        <v>UNPAID</v>
      </c>
    </row>
    <row r="322" spans="1:13" x14ac:dyDescent="0.3">
      <c r="A322" s="66">
        <f>'STUDENT DETAILS'!A319</f>
        <v>0</v>
      </c>
      <c r="B322" s="66">
        <f>'STUDENT DETAILS'!B319</f>
        <v>0</v>
      </c>
      <c r="C322" s="66">
        <f>'STUDENT DETAILS'!C319</f>
        <v>0</v>
      </c>
      <c r="D322" s="66">
        <f>'STUDENT DETAILS'!D319</f>
        <v>0</v>
      </c>
      <c r="E322" s="94">
        <f>'STUDENT DETAILS'!E319</f>
        <v>0</v>
      </c>
      <c r="F322" s="66" t="b">
        <f t="shared" si="16"/>
        <v>0</v>
      </c>
      <c r="G322" s="66"/>
      <c r="H322" s="66"/>
      <c r="I322" s="66"/>
      <c r="J322" s="66"/>
      <c r="K322" s="66">
        <f t="shared" si="17"/>
        <v>0</v>
      </c>
      <c r="L322" s="66">
        <f t="shared" si="18"/>
        <v>0</v>
      </c>
      <c r="M322" s="66" t="str">
        <f t="shared" si="19"/>
        <v>UNPAID</v>
      </c>
    </row>
    <row r="323" spans="1:13" x14ac:dyDescent="0.3">
      <c r="A323" s="66">
        <f>'STUDENT DETAILS'!A320</f>
        <v>0</v>
      </c>
      <c r="B323" s="66">
        <f>'STUDENT DETAILS'!B320</f>
        <v>0</v>
      </c>
      <c r="C323" s="66">
        <f>'STUDENT DETAILS'!C320</f>
        <v>0</v>
      </c>
      <c r="D323" s="66">
        <f>'STUDENT DETAILS'!D320</f>
        <v>0</v>
      </c>
      <c r="E323" s="94">
        <f>'STUDENT DETAILS'!E320</f>
        <v>0</v>
      </c>
      <c r="F323" s="66" t="b">
        <f t="shared" si="16"/>
        <v>0</v>
      </c>
      <c r="G323" s="66"/>
      <c r="H323" s="66"/>
      <c r="I323" s="66"/>
      <c r="J323" s="66"/>
      <c r="K323" s="66">
        <f t="shared" si="17"/>
        <v>0</v>
      </c>
      <c r="L323" s="66">
        <f t="shared" si="18"/>
        <v>0</v>
      </c>
      <c r="M323" s="66" t="str">
        <f t="shared" si="19"/>
        <v>UNPAID</v>
      </c>
    </row>
    <row r="324" spans="1:13" x14ac:dyDescent="0.3">
      <c r="A324" s="66">
        <f>'STUDENT DETAILS'!A321</f>
        <v>0</v>
      </c>
      <c r="B324" s="66">
        <f>'STUDENT DETAILS'!B321</f>
        <v>0</v>
      </c>
      <c r="C324" s="66">
        <f>'STUDENT DETAILS'!C321</f>
        <v>0</v>
      </c>
      <c r="D324" s="66">
        <f>'STUDENT DETAILS'!D321</f>
        <v>0</v>
      </c>
      <c r="E324" s="94">
        <f>'STUDENT DETAILS'!E321</f>
        <v>0</v>
      </c>
      <c r="F324" s="66" t="b">
        <f t="shared" si="16"/>
        <v>0</v>
      </c>
      <c r="G324" s="66"/>
      <c r="H324" s="66"/>
      <c r="I324" s="66"/>
      <c r="J324" s="66"/>
      <c r="K324" s="66">
        <f t="shared" si="17"/>
        <v>0</v>
      </c>
      <c r="L324" s="66">
        <f t="shared" si="18"/>
        <v>0</v>
      </c>
      <c r="M324" s="66" t="str">
        <f t="shared" si="19"/>
        <v>UNPAID</v>
      </c>
    </row>
    <row r="325" spans="1:13" x14ac:dyDescent="0.3">
      <c r="A325" s="66">
        <f>'STUDENT DETAILS'!A322</f>
        <v>0</v>
      </c>
      <c r="B325" s="66">
        <f>'STUDENT DETAILS'!B322</f>
        <v>0</v>
      </c>
      <c r="C325" s="66">
        <f>'STUDENT DETAILS'!C322</f>
        <v>0</v>
      </c>
      <c r="D325" s="66">
        <f>'STUDENT DETAILS'!D322</f>
        <v>0</v>
      </c>
      <c r="E325" s="94">
        <f>'STUDENT DETAILS'!E322</f>
        <v>0</v>
      </c>
      <c r="F325" s="66" t="b">
        <f t="shared" si="16"/>
        <v>0</v>
      </c>
      <c r="G325" s="66"/>
      <c r="H325" s="66"/>
      <c r="I325" s="66"/>
      <c r="J325" s="66"/>
      <c r="K325" s="66">
        <f t="shared" si="17"/>
        <v>0</v>
      </c>
      <c r="L325" s="66">
        <f t="shared" si="18"/>
        <v>0</v>
      </c>
      <c r="M325" s="66" t="str">
        <f t="shared" si="19"/>
        <v>UNPAID</v>
      </c>
    </row>
    <row r="326" spans="1:13" x14ac:dyDescent="0.3">
      <c r="A326" s="66">
        <f>'STUDENT DETAILS'!A323</f>
        <v>0</v>
      </c>
      <c r="B326" s="66">
        <f>'STUDENT DETAILS'!B323</f>
        <v>0</v>
      </c>
      <c r="C326" s="66">
        <f>'STUDENT DETAILS'!C323</f>
        <v>0</v>
      </c>
      <c r="D326" s="66">
        <f>'STUDENT DETAILS'!D323</f>
        <v>0</v>
      </c>
      <c r="E326" s="94">
        <f>'STUDENT DETAILS'!E323</f>
        <v>0</v>
      </c>
      <c r="F326" s="66" t="b">
        <f t="shared" si="16"/>
        <v>0</v>
      </c>
      <c r="G326" s="66"/>
      <c r="H326" s="66"/>
      <c r="I326" s="66"/>
      <c r="J326" s="66"/>
      <c r="K326" s="66">
        <f t="shared" si="17"/>
        <v>0</v>
      </c>
      <c r="L326" s="66">
        <f t="shared" si="18"/>
        <v>0</v>
      </c>
      <c r="M326" s="66" t="str">
        <f t="shared" si="19"/>
        <v>UNPAID</v>
      </c>
    </row>
    <row r="327" spans="1:13" x14ac:dyDescent="0.3">
      <c r="A327" s="66">
        <f>'STUDENT DETAILS'!A324</f>
        <v>0</v>
      </c>
      <c r="B327" s="66">
        <f>'STUDENT DETAILS'!B324</f>
        <v>0</v>
      </c>
      <c r="C327" s="66">
        <f>'STUDENT DETAILS'!C324</f>
        <v>0</v>
      </c>
      <c r="D327" s="66">
        <f>'STUDENT DETAILS'!D324</f>
        <v>0</v>
      </c>
      <c r="E327" s="94">
        <f>'STUDENT DETAILS'!E324</f>
        <v>0</v>
      </c>
      <c r="F327" s="66" t="b">
        <f t="shared" ref="F327:F390" si="20">IF(C327="LKG",2000,IF(C327="HKG",3000,IF(C327="1st",4000,IF(C327="2nd",5000,IF(C327="3rd",6000,IF(C327="4th",7000,IF(C327="5th",8000,IF(C327="6th",9000,IF(C327="7th",10000,IF(C327="8th",10500,IF(C327="9th",10700,IF(C327="10th",11000,IF(C327="",0)))))))))))))</f>
        <v>0</v>
      </c>
      <c r="G327" s="66"/>
      <c r="H327" s="66"/>
      <c r="I327" s="66"/>
      <c r="J327" s="66"/>
      <c r="K327" s="66">
        <f t="shared" ref="K327:K390" si="21">SUM(G327:J327)</f>
        <v>0</v>
      </c>
      <c r="L327" s="66">
        <f t="shared" ref="L327:L390" si="22">F327-K327</f>
        <v>0</v>
      </c>
      <c r="M327" s="66" t="str">
        <f t="shared" ref="M327:M390" si="23">IF(K327&gt;=F327,"COMPLETED","UNPAID")</f>
        <v>UNPAID</v>
      </c>
    </row>
    <row r="328" spans="1:13" x14ac:dyDescent="0.3">
      <c r="A328" s="66">
        <f>'STUDENT DETAILS'!A325</f>
        <v>0</v>
      </c>
      <c r="B328" s="66">
        <f>'STUDENT DETAILS'!B325</f>
        <v>0</v>
      </c>
      <c r="C328" s="66">
        <f>'STUDENT DETAILS'!C325</f>
        <v>0</v>
      </c>
      <c r="D328" s="66">
        <f>'STUDENT DETAILS'!D325</f>
        <v>0</v>
      </c>
      <c r="E328" s="94">
        <f>'STUDENT DETAILS'!E325</f>
        <v>0</v>
      </c>
      <c r="F328" s="66" t="b">
        <f t="shared" si="20"/>
        <v>0</v>
      </c>
      <c r="G328" s="66"/>
      <c r="H328" s="66"/>
      <c r="I328" s="66"/>
      <c r="J328" s="66"/>
      <c r="K328" s="66">
        <f t="shared" si="21"/>
        <v>0</v>
      </c>
      <c r="L328" s="66">
        <f t="shared" si="22"/>
        <v>0</v>
      </c>
      <c r="M328" s="66" t="str">
        <f t="shared" si="23"/>
        <v>UNPAID</v>
      </c>
    </row>
    <row r="329" spans="1:13" x14ac:dyDescent="0.3">
      <c r="A329" s="66">
        <f>'STUDENT DETAILS'!A326</f>
        <v>0</v>
      </c>
      <c r="B329" s="66">
        <f>'STUDENT DETAILS'!B326</f>
        <v>0</v>
      </c>
      <c r="C329" s="66">
        <f>'STUDENT DETAILS'!C326</f>
        <v>0</v>
      </c>
      <c r="D329" s="66">
        <f>'STUDENT DETAILS'!D326</f>
        <v>0</v>
      </c>
      <c r="E329" s="94">
        <f>'STUDENT DETAILS'!E326</f>
        <v>0</v>
      </c>
      <c r="F329" s="66" t="b">
        <f t="shared" si="20"/>
        <v>0</v>
      </c>
      <c r="G329" s="66"/>
      <c r="H329" s="66"/>
      <c r="I329" s="66"/>
      <c r="J329" s="66"/>
      <c r="K329" s="66">
        <f t="shared" si="21"/>
        <v>0</v>
      </c>
      <c r="L329" s="66">
        <f t="shared" si="22"/>
        <v>0</v>
      </c>
      <c r="M329" s="66" t="str">
        <f t="shared" si="23"/>
        <v>UNPAID</v>
      </c>
    </row>
    <row r="330" spans="1:13" x14ac:dyDescent="0.3">
      <c r="A330" s="66">
        <f>'STUDENT DETAILS'!A327</f>
        <v>0</v>
      </c>
      <c r="B330" s="66">
        <f>'STUDENT DETAILS'!B327</f>
        <v>0</v>
      </c>
      <c r="C330" s="66">
        <f>'STUDENT DETAILS'!C327</f>
        <v>0</v>
      </c>
      <c r="D330" s="66">
        <f>'STUDENT DETAILS'!D327</f>
        <v>0</v>
      </c>
      <c r="E330" s="94">
        <f>'STUDENT DETAILS'!E327</f>
        <v>0</v>
      </c>
      <c r="F330" s="66" t="b">
        <f t="shared" si="20"/>
        <v>0</v>
      </c>
      <c r="G330" s="66"/>
      <c r="H330" s="66"/>
      <c r="I330" s="66"/>
      <c r="J330" s="66"/>
      <c r="K330" s="66">
        <f t="shared" si="21"/>
        <v>0</v>
      </c>
      <c r="L330" s="66">
        <f t="shared" si="22"/>
        <v>0</v>
      </c>
      <c r="M330" s="66" t="str">
        <f t="shared" si="23"/>
        <v>UNPAID</v>
      </c>
    </row>
    <row r="331" spans="1:13" x14ac:dyDescent="0.3">
      <c r="A331" s="66">
        <f>'STUDENT DETAILS'!A328</f>
        <v>0</v>
      </c>
      <c r="B331" s="66">
        <f>'STUDENT DETAILS'!B328</f>
        <v>0</v>
      </c>
      <c r="C331" s="66">
        <f>'STUDENT DETAILS'!C328</f>
        <v>0</v>
      </c>
      <c r="D331" s="66">
        <f>'STUDENT DETAILS'!D328</f>
        <v>0</v>
      </c>
      <c r="E331" s="94">
        <f>'STUDENT DETAILS'!E328</f>
        <v>0</v>
      </c>
      <c r="F331" s="66" t="b">
        <f t="shared" si="20"/>
        <v>0</v>
      </c>
      <c r="G331" s="66"/>
      <c r="H331" s="66"/>
      <c r="I331" s="66"/>
      <c r="J331" s="66"/>
      <c r="K331" s="66">
        <f t="shared" si="21"/>
        <v>0</v>
      </c>
      <c r="L331" s="66">
        <f t="shared" si="22"/>
        <v>0</v>
      </c>
      <c r="M331" s="66" t="str">
        <f t="shared" si="23"/>
        <v>UNPAID</v>
      </c>
    </row>
    <row r="332" spans="1:13" x14ac:dyDescent="0.3">
      <c r="A332" s="66">
        <f>'STUDENT DETAILS'!A329</f>
        <v>0</v>
      </c>
      <c r="B332" s="66">
        <f>'STUDENT DETAILS'!B329</f>
        <v>0</v>
      </c>
      <c r="C332" s="66">
        <f>'STUDENT DETAILS'!C329</f>
        <v>0</v>
      </c>
      <c r="D332" s="66">
        <f>'STUDENT DETAILS'!D329</f>
        <v>0</v>
      </c>
      <c r="E332" s="94">
        <f>'STUDENT DETAILS'!E329</f>
        <v>0</v>
      </c>
      <c r="F332" s="66" t="b">
        <f t="shared" si="20"/>
        <v>0</v>
      </c>
      <c r="G332" s="66"/>
      <c r="H332" s="66"/>
      <c r="I332" s="66"/>
      <c r="J332" s="66"/>
      <c r="K332" s="66">
        <f t="shared" si="21"/>
        <v>0</v>
      </c>
      <c r="L332" s="66">
        <f t="shared" si="22"/>
        <v>0</v>
      </c>
      <c r="M332" s="66" t="str">
        <f t="shared" si="23"/>
        <v>UNPAID</v>
      </c>
    </row>
    <row r="333" spans="1:13" x14ac:dyDescent="0.3">
      <c r="A333" s="66">
        <f>'STUDENT DETAILS'!A330</f>
        <v>0</v>
      </c>
      <c r="B333" s="66">
        <f>'STUDENT DETAILS'!B330</f>
        <v>0</v>
      </c>
      <c r="C333" s="66">
        <f>'STUDENT DETAILS'!C330</f>
        <v>0</v>
      </c>
      <c r="D333" s="66">
        <f>'STUDENT DETAILS'!D330</f>
        <v>0</v>
      </c>
      <c r="E333" s="94">
        <f>'STUDENT DETAILS'!E330</f>
        <v>0</v>
      </c>
      <c r="F333" s="66" t="b">
        <f t="shared" si="20"/>
        <v>0</v>
      </c>
      <c r="G333" s="66"/>
      <c r="H333" s="66"/>
      <c r="I333" s="66"/>
      <c r="J333" s="66"/>
      <c r="K333" s="66">
        <f t="shared" si="21"/>
        <v>0</v>
      </c>
      <c r="L333" s="66">
        <f t="shared" si="22"/>
        <v>0</v>
      </c>
      <c r="M333" s="66" t="str">
        <f t="shared" si="23"/>
        <v>UNPAID</v>
      </c>
    </row>
    <row r="334" spans="1:13" x14ac:dyDescent="0.3">
      <c r="A334" s="66">
        <f>'STUDENT DETAILS'!A331</f>
        <v>0</v>
      </c>
      <c r="B334" s="66">
        <f>'STUDENT DETAILS'!B331</f>
        <v>0</v>
      </c>
      <c r="C334" s="66">
        <f>'STUDENT DETAILS'!C331</f>
        <v>0</v>
      </c>
      <c r="D334" s="66">
        <f>'STUDENT DETAILS'!D331</f>
        <v>0</v>
      </c>
      <c r="E334" s="94">
        <f>'STUDENT DETAILS'!E331</f>
        <v>0</v>
      </c>
      <c r="F334" s="66" t="b">
        <f t="shared" si="20"/>
        <v>0</v>
      </c>
      <c r="G334" s="66"/>
      <c r="H334" s="66"/>
      <c r="I334" s="66"/>
      <c r="J334" s="66"/>
      <c r="K334" s="66">
        <f t="shared" si="21"/>
        <v>0</v>
      </c>
      <c r="L334" s="66">
        <f t="shared" si="22"/>
        <v>0</v>
      </c>
      <c r="M334" s="66" t="str">
        <f t="shared" si="23"/>
        <v>UNPAID</v>
      </c>
    </row>
    <row r="335" spans="1:13" x14ac:dyDescent="0.3">
      <c r="A335" s="66">
        <f>'STUDENT DETAILS'!A332</f>
        <v>0</v>
      </c>
      <c r="B335" s="66">
        <f>'STUDENT DETAILS'!B332</f>
        <v>0</v>
      </c>
      <c r="C335" s="66">
        <f>'STUDENT DETAILS'!C332</f>
        <v>0</v>
      </c>
      <c r="D335" s="66">
        <f>'STUDENT DETAILS'!D332</f>
        <v>0</v>
      </c>
      <c r="E335" s="94">
        <f>'STUDENT DETAILS'!E332</f>
        <v>0</v>
      </c>
      <c r="F335" s="66" t="b">
        <f t="shared" si="20"/>
        <v>0</v>
      </c>
      <c r="G335" s="66"/>
      <c r="H335" s="66"/>
      <c r="I335" s="66"/>
      <c r="J335" s="66"/>
      <c r="K335" s="66">
        <f t="shared" si="21"/>
        <v>0</v>
      </c>
      <c r="L335" s="66">
        <f t="shared" si="22"/>
        <v>0</v>
      </c>
      <c r="M335" s="66" t="str">
        <f t="shared" si="23"/>
        <v>UNPAID</v>
      </c>
    </row>
    <row r="336" spans="1:13" x14ac:dyDescent="0.3">
      <c r="A336" s="66">
        <f>'STUDENT DETAILS'!A333</f>
        <v>0</v>
      </c>
      <c r="B336" s="66">
        <f>'STUDENT DETAILS'!B333</f>
        <v>0</v>
      </c>
      <c r="C336" s="66">
        <f>'STUDENT DETAILS'!C333</f>
        <v>0</v>
      </c>
      <c r="D336" s="66">
        <f>'STUDENT DETAILS'!D333</f>
        <v>0</v>
      </c>
      <c r="E336" s="94">
        <f>'STUDENT DETAILS'!E333</f>
        <v>0</v>
      </c>
      <c r="F336" s="66" t="b">
        <f t="shared" si="20"/>
        <v>0</v>
      </c>
      <c r="G336" s="66"/>
      <c r="H336" s="66"/>
      <c r="I336" s="66"/>
      <c r="J336" s="66"/>
      <c r="K336" s="66">
        <f t="shared" si="21"/>
        <v>0</v>
      </c>
      <c r="L336" s="66">
        <f t="shared" si="22"/>
        <v>0</v>
      </c>
      <c r="M336" s="66" t="str">
        <f t="shared" si="23"/>
        <v>UNPAID</v>
      </c>
    </row>
    <row r="337" spans="1:13" x14ac:dyDescent="0.3">
      <c r="A337" s="66">
        <f>'STUDENT DETAILS'!A334</f>
        <v>0</v>
      </c>
      <c r="B337" s="66">
        <f>'STUDENT DETAILS'!B334</f>
        <v>0</v>
      </c>
      <c r="C337" s="66">
        <f>'STUDENT DETAILS'!C334</f>
        <v>0</v>
      </c>
      <c r="D337" s="66">
        <f>'STUDENT DETAILS'!D334</f>
        <v>0</v>
      </c>
      <c r="E337" s="94">
        <f>'STUDENT DETAILS'!E334</f>
        <v>0</v>
      </c>
      <c r="F337" s="66" t="b">
        <f t="shared" si="20"/>
        <v>0</v>
      </c>
      <c r="G337" s="66"/>
      <c r="H337" s="66"/>
      <c r="I337" s="66"/>
      <c r="J337" s="66"/>
      <c r="K337" s="66">
        <f t="shared" si="21"/>
        <v>0</v>
      </c>
      <c r="L337" s="66">
        <f t="shared" si="22"/>
        <v>0</v>
      </c>
      <c r="M337" s="66" t="str">
        <f t="shared" si="23"/>
        <v>UNPAID</v>
      </c>
    </row>
    <row r="338" spans="1:13" x14ac:dyDescent="0.3">
      <c r="A338" s="66">
        <f>'STUDENT DETAILS'!A335</f>
        <v>0</v>
      </c>
      <c r="B338" s="66">
        <f>'STUDENT DETAILS'!B335</f>
        <v>0</v>
      </c>
      <c r="C338" s="66">
        <f>'STUDENT DETAILS'!C335</f>
        <v>0</v>
      </c>
      <c r="D338" s="66">
        <f>'STUDENT DETAILS'!D335</f>
        <v>0</v>
      </c>
      <c r="E338" s="94">
        <f>'STUDENT DETAILS'!E335</f>
        <v>0</v>
      </c>
      <c r="F338" s="66" t="b">
        <f t="shared" si="20"/>
        <v>0</v>
      </c>
      <c r="G338" s="66"/>
      <c r="H338" s="66"/>
      <c r="I338" s="66"/>
      <c r="J338" s="66"/>
      <c r="K338" s="66">
        <f t="shared" si="21"/>
        <v>0</v>
      </c>
      <c r="L338" s="66">
        <f t="shared" si="22"/>
        <v>0</v>
      </c>
      <c r="M338" s="66" t="str">
        <f t="shared" si="23"/>
        <v>UNPAID</v>
      </c>
    </row>
    <row r="339" spans="1:13" x14ac:dyDescent="0.3">
      <c r="A339" s="66">
        <f>'STUDENT DETAILS'!A336</f>
        <v>0</v>
      </c>
      <c r="B339" s="66">
        <f>'STUDENT DETAILS'!B336</f>
        <v>0</v>
      </c>
      <c r="C339" s="66">
        <f>'STUDENT DETAILS'!C336</f>
        <v>0</v>
      </c>
      <c r="D339" s="66">
        <f>'STUDENT DETAILS'!D336</f>
        <v>0</v>
      </c>
      <c r="E339" s="94">
        <f>'STUDENT DETAILS'!E336</f>
        <v>0</v>
      </c>
      <c r="F339" s="66" t="b">
        <f t="shared" si="20"/>
        <v>0</v>
      </c>
      <c r="G339" s="66"/>
      <c r="H339" s="66"/>
      <c r="I339" s="66"/>
      <c r="J339" s="66"/>
      <c r="K339" s="66">
        <f t="shared" si="21"/>
        <v>0</v>
      </c>
      <c r="L339" s="66">
        <f t="shared" si="22"/>
        <v>0</v>
      </c>
      <c r="M339" s="66" t="str">
        <f t="shared" si="23"/>
        <v>UNPAID</v>
      </c>
    </row>
    <row r="340" spans="1:13" x14ac:dyDescent="0.3">
      <c r="A340" s="66">
        <f>'STUDENT DETAILS'!A337</f>
        <v>0</v>
      </c>
      <c r="B340" s="66">
        <f>'STUDENT DETAILS'!B337</f>
        <v>0</v>
      </c>
      <c r="C340" s="66">
        <f>'STUDENT DETAILS'!C337</f>
        <v>0</v>
      </c>
      <c r="D340" s="66">
        <f>'STUDENT DETAILS'!D337</f>
        <v>0</v>
      </c>
      <c r="E340" s="94">
        <f>'STUDENT DETAILS'!E337</f>
        <v>0</v>
      </c>
      <c r="F340" s="66" t="b">
        <f t="shared" si="20"/>
        <v>0</v>
      </c>
      <c r="G340" s="66"/>
      <c r="H340" s="66"/>
      <c r="I340" s="66"/>
      <c r="J340" s="66"/>
      <c r="K340" s="66">
        <f t="shared" si="21"/>
        <v>0</v>
      </c>
      <c r="L340" s="66">
        <f t="shared" si="22"/>
        <v>0</v>
      </c>
      <c r="M340" s="66" t="str">
        <f t="shared" si="23"/>
        <v>UNPAID</v>
      </c>
    </row>
    <row r="341" spans="1:13" x14ac:dyDescent="0.3">
      <c r="A341" s="66">
        <f>'STUDENT DETAILS'!A338</f>
        <v>0</v>
      </c>
      <c r="B341" s="66">
        <f>'STUDENT DETAILS'!B338</f>
        <v>0</v>
      </c>
      <c r="C341" s="66">
        <f>'STUDENT DETAILS'!C338</f>
        <v>0</v>
      </c>
      <c r="D341" s="66">
        <f>'STUDENT DETAILS'!D338</f>
        <v>0</v>
      </c>
      <c r="E341" s="94">
        <f>'STUDENT DETAILS'!E338</f>
        <v>0</v>
      </c>
      <c r="F341" s="66" t="b">
        <f t="shared" si="20"/>
        <v>0</v>
      </c>
      <c r="G341" s="66"/>
      <c r="H341" s="66"/>
      <c r="I341" s="66"/>
      <c r="J341" s="66"/>
      <c r="K341" s="66">
        <f t="shared" si="21"/>
        <v>0</v>
      </c>
      <c r="L341" s="66">
        <f t="shared" si="22"/>
        <v>0</v>
      </c>
      <c r="M341" s="66" t="str">
        <f t="shared" si="23"/>
        <v>UNPAID</v>
      </c>
    </row>
    <row r="342" spans="1:13" x14ac:dyDescent="0.3">
      <c r="A342" s="66">
        <f>'STUDENT DETAILS'!A339</f>
        <v>0</v>
      </c>
      <c r="B342" s="66">
        <f>'STUDENT DETAILS'!B339</f>
        <v>0</v>
      </c>
      <c r="C342" s="66">
        <f>'STUDENT DETAILS'!C339</f>
        <v>0</v>
      </c>
      <c r="D342" s="66">
        <f>'STUDENT DETAILS'!D339</f>
        <v>0</v>
      </c>
      <c r="E342" s="94">
        <f>'STUDENT DETAILS'!E339</f>
        <v>0</v>
      </c>
      <c r="F342" s="66" t="b">
        <f t="shared" si="20"/>
        <v>0</v>
      </c>
      <c r="G342" s="66"/>
      <c r="H342" s="66"/>
      <c r="I342" s="66"/>
      <c r="J342" s="66"/>
      <c r="K342" s="66">
        <f t="shared" si="21"/>
        <v>0</v>
      </c>
      <c r="L342" s="66">
        <f t="shared" si="22"/>
        <v>0</v>
      </c>
      <c r="M342" s="66" t="str">
        <f t="shared" si="23"/>
        <v>UNPAID</v>
      </c>
    </row>
    <row r="343" spans="1:13" x14ac:dyDescent="0.3">
      <c r="A343" s="66">
        <f>'STUDENT DETAILS'!A340</f>
        <v>0</v>
      </c>
      <c r="B343" s="66">
        <f>'STUDENT DETAILS'!B340</f>
        <v>0</v>
      </c>
      <c r="C343" s="66">
        <f>'STUDENT DETAILS'!C340</f>
        <v>0</v>
      </c>
      <c r="D343" s="66">
        <f>'STUDENT DETAILS'!D340</f>
        <v>0</v>
      </c>
      <c r="E343" s="94">
        <f>'STUDENT DETAILS'!E340</f>
        <v>0</v>
      </c>
      <c r="F343" s="66" t="b">
        <f t="shared" si="20"/>
        <v>0</v>
      </c>
      <c r="G343" s="66"/>
      <c r="H343" s="66"/>
      <c r="I343" s="66"/>
      <c r="J343" s="66"/>
      <c r="K343" s="66">
        <f t="shared" si="21"/>
        <v>0</v>
      </c>
      <c r="L343" s="66">
        <f t="shared" si="22"/>
        <v>0</v>
      </c>
      <c r="M343" s="66" t="str">
        <f t="shared" si="23"/>
        <v>UNPAID</v>
      </c>
    </row>
    <row r="344" spans="1:13" x14ac:dyDescent="0.3">
      <c r="A344" s="66">
        <f>'STUDENT DETAILS'!A341</f>
        <v>0</v>
      </c>
      <c r="B344" s="66">
        <f>'STUDENT DETAILS'!B341</f>
        <v>0</v>
      </c>
      <c r="C344" s="66">
        <f>'STUDENT DETAILS'!C341</f>
        <v>0</v>
      </c>
      <c r="D344" s="66">
        <f>'STUDENT DETAILS'!D341</f>
        <v>0</v>
      </c>
      <c r="E344" s="94">
        <f>'STUDENT DETAILS'!E341</f>
        <v>0</v>
      </c>
      <c r="F344" s="66" t="b">
        <f t="shared" si="20"/>
        <v>0</v>
      </c>
      <c r="G344" s="66"/>
      <c r="H344" s="66"/>
      <c r="I344" s="66"/>
      <c r="J344" s="66"/>
      <c r="K344" s="66">
        <f t="shared" si="21"/>
        <v>0</v>
      </c>
      <c r="L344" s="66">
        <f t="shared" si="22"/>
        <v>0</v>
      </c>
      <c r="M344" s="66" t="str">
        <f t="shared" si="23"/>
        <v>UNPAID</v>
      </c>
    </row>
    <row r="345" spans="1:13" x14ac:dyDescent="0.3">
      <c r="A345" s="66">
        <f>'STUDENT DETAILS'!A342</f>
        <v>0</v>
      </c>
      <c r="B345" s="66">
        <f>'STUDENT DETAILS'!B342</f>
        <v>0</v>
      </c>
      <c r="C345" s="66">
        <f>'STUDENT DETAILS'!C342</f>
        <v>0</v>
      </c>
      <c r="D345" s="66">
        <f>'STUDENT DETAILS'!D342</f>
        <v>0</v>
      </c>
      <c r="E345" s="94">
        <f>'STUDENT DETAILS'!E342</f>
        <v>0</v>
      </c>
      <c r="F345" s="66" t="b">
        <f t="shared" si="20"/>
        <v>0</v>
      </c>
      <c r="G345" s="66"/>
      <c r="H345" s="66"/>
      <c r="I345" s="66"/>
      <c r="J345" s="66"/>
      <c r="K345" s="66">
        <f t="shared" si="21"/>
        <v>0</v>
      </c>
      <c r="L345" s="66">
        <f t="shared" si="22"/>
        <v>0</v>
      </c>
      <c r="M345" s="66" t="str">
        <f t="shared" si="23"/>
        <v>UNPAID</v>
      </c>
    </row>
    <row r="346" spans="1:13" x14ac:dyDescent="0.3">
      <c r="A346" s="66">
        <f>'STUDENT DETAILS'!A343</f>
        <v>0</v>
      </c>
      <c r="B346" s="66">
        <f>'STUDENT DETAILS'!B343</f>
        <v>0</v>
      </c>
      <c r="C346" s="66">
        <f>'STUDENT DETAILS'!C343</f>
        <v>0</v>
      </c>
      <c r="D346" s="66">
        <f>'STUDENT DETAILS'!D343</f>
        <v>0</v>
      </c>
      <c r="E346" s="94">
        <f>'STUDENT DETAILS'!E343</f>
        <v>0</v>
      </c>
      <c r="F346" s="66" t="b">
        <f t="shared" si="20"/>
        <v>0</v>
      </c>
      <c r="G346" s="66"/>
      <c r="H346" s="66"/>
      <c r="I346" s="66"/>
      <c r="J346" s="66"/>
      <c r="K346" s="66">
        <f t="shared" si="21"/>
        <v>0</v>
      </c>
      <c r="L346" s="66">
        <f t="shared" si="22"/>
        <v>0</v>
      </c>
      <c r="M346" s="66" t="str">
        <f t="shared" si="23"/>
        <v>UNPAID</v>
      </c>
    </row>
    <row r="347" spans="1:13" x14ac:dyDescent="0.3">
      <c r="A347" s="66">
        <f>'STUDENT DETAILS'!A344</f>
        <v>0</v>
      </c>
      <c r="B347" s="66">
        <f>'STUDENT DETAILS'!B344</f>
        <v>0</v>
      </c>
      <c r="C347" s="66">
        <f>'STUDENT DETAILS'!C344</f>
        <v>0</v>
      </c>
      <c r="D347" s="66">
        <f>'STUDENT DETAILS'!D344</f>
        <v>0</v>
      </c>
      <c r="E347" s="94">
        <f>'STUDENT DETAILS'!E344</f>
        <v>0</v>
      </c>
      <c r="F347" s="66" t="b">
        <f t="shared" si="20"/>
        <v>0</v>
      </c>
      <c r="G347" s="66"/>
      <c r="H347" s="66"/>
      <c r="I347" s="66"/>
      <c r="J347" s="66"/>
      <c r="K347" s="66">
        <f t="shared" si="21"/>
        <v>0</v>
      </c>
      <c r="L347" s="66">
        <f t="shared" si="22"/>
        <v>0</v>
      </c>
      <c r="M347" s="66" t="str">
        <f t="shared" si="23"/>
        <v>UNPAID</v>
      </c>
    </row>
    <row r="348" spans="1:13" x14ac:dyDescent="0.3">
      <c r="A348" s="66">
        <f>'STUDENT DETAILS'!A345</f>
        <v>0</v>
      </c>
      <c r="B348" s="66">
        <f>'STUDENT DETAILS'!B345</f>
        <v>0</v>
      </c>
      <c r="C348" s="66">
        <f>'STUDENT DETAILS'!C345</f>
        <v>0</v>
      </c>
      <c r="D348" s="66">
        <f>'STUDENT DETAILS'!D345</f>
        <v>0</v>
      </c>
      <c r="E348" s="94">
        <f>'STUDENT DETAILS'!E345</f>
        <v>0</v>
      </c>
      <c r="F348" s="66" t="b">
        <f t="shared" si="20"/>
        <v>0</v>
      </c>
      <c r="G348" s="66"/>
      <c r="H348" s="66"/>
      <c r="I348" s="66"/>
      <c r="J348" s="66"/>
      <c r="K348" s="66">
        <f t="shared" si="21"/>
        <v>0</v>
      </c>
      <c r="L348" s="66">
        <f t="shared" si="22"/>
        <v>0</v>
      </c>
      <c r="M348" s="66" t="str">
        <f t="shared" si="23"/>
        <v>UNPAID</v>
      </c>
    </row>
    <row r="349" spans="1:13" x14ac:dyDescent="0.3">
      <c r="A349" s="66">
        <f>'STUDENT DETAILS'!A346</f>
        <v>0</v>
      </c>
      <c r="B349" s="66">
        <f>'STUDENT DETAILS'!B346</f>
        <v>0</v>
      </c>
      <c r="C349" s="66">
        <f>'STUDENT DETAILS'!C346</f>
        <v>0</v>
      </c>
      <c r="D349" s="66">
        <f>'STUDENT DETAILS'!D346</f>
        <v>0</v>
      </c>
      <c r="E349" s="94">
        <f>'STUDENT DETAILS'!E346</f>
        <v>0</v>
      </c>
      <c r="F349" s="66" t="b">
        <f t="shared" si="20"/>
        <v>0</v>
      </c>
      <c r="G349" s="66"/>
      <c r="H349" s="66"/>
      <c r="I349" s="66"/>
      <c r="J349" s="66"/>
      <c r="K349" s="66">
        <f t="shared" si="21"/>
        <v>0</v>
      </c>
      <c r="L349" s="66">
        <f t="shared" si="22"/>
        <v>0</v>
      </c>
      <c r="M349" s="66" t="str">
        <f t="shared" si="23"/>
        <v>UNPAID</v>
      </c>
    </row>
    <row r="350" spans="1:13" x14ac:dyDescent="0.3">
      <c r="A350" s="66">
        <f>'STUDENT DETAILS'!A347</f>
        <v>0</v>
      </c>
      <c r="B350" s="66">
        <f>'STUDENT DETAILS'!B347</f>
        <v>0</v>
      </c>
      <c r="C350" s="66">
        <f>'STUDENT DETAILS'!C347</f>
        <v>0</v>
      </c>
      <c r="D350" s="66">
        <f>'STUDENT DETAILS'!D347</f>
        <v>0</v>
      </c>
      <c r="E350" s="94">
        <f>'STUDENT DETAILS'!E347</f>
        <v>0</v>
      </c>
      <c r="F350" s="66" t="b">
        <f t="shared" si="20"/>
        <v>0</v>
      </c>
      <c r="G350" s="66"/>
      <c r="H350" s="66"/>
      <c r="I350" s="66"/>
      <c r="J350" s="66"/>
      <c r="K350" s="66">
        <f t="shared" si="21"/>
        <v>0</v>
      </c>
      <c r="L350" s="66">
        <f t="shared" si="22"/>
        <v>0</v>
      </c>
      <c r="M350" s="66" t="str">
        <f t="shared" si="23"/>
        <v>UNPAID</v>
      </c>
    </row>
    <row r="351" spans="1:13" x14ac:dyDescent="0.3">
      <c r="A351" s="66">
        <f>'STUDENT DETAILS'!A348</f>
        <v>0</v>
      </c>
      <c r="B351" s="66">
        <f>'STUDENT DETAILS'!B348</f>
        <v>0</v>
      </c>
      <c r="C351" s="66">
        <f>'STUDENT DETAILS'!C348</f>
        <v>0</v>
      </c>
      <c r="D351" s="66">
        <f>'STUDENT DETAILS'!D348</f>
        <v>0</v>
      </c>
      <c r="E351" s="94">
        <f>'STUDENT DETAILS'!E348</f>
        <v>0</v>
      </c>
      <c r="F351" s="66" t="b">
        <f t="shared" si="20"/>
        <v>0</v>
      </c>
      <c r="G351" s="66"/>
      <c r="H351" s="66"/>
      <c r="I351" s="66"/>
      <c r="J351" s="66"/>
      <c r="K351" s="66">
        <f t="shared" si="21"/>
        <v>0</v>
      </c>
      <c r="L351" s="66">
        <f t="shared" si="22"/>
        <v>0</v>
      </c>
      <c r="M351" s="66" t="str">
        <f t="shared" si="23"/>
        <v>UNPAID</v>
      </c>
    </row>
    <row r="352" spans="1:13" x14ac:dyDescent="0.3">
      <c r="A352" s="66">
        <f>'STUDENT DETAILS'!A349</f>
        <v>0</v>
      </c>
      <c r="B352" s="66">
        <f>'STUDENT DETAILS'!B349</f>
        <v>0</v>
      </c>
      <c r="C352" s="66">
        <f>'STUDENT DETAILS'!C349</f>
        <v>0</v>
      </c>
      <c r="D352" s="66">
        <f>'STUDENT DETAILS'!D349</f>
        <v>0</v>
      </c>
      <c r="E352" s="94">
        <f>'STUDENT DETAILS'!E349</f>
        <v>0</v>
      </c>
      <c r="F352" s="66" t="b">
        <f t="shared" si="20"/>
        <v>0</v>
      </c>
      <c r="G352" s="66"/>
      <c r="H352" s="66"/>
      <c r="I352" s="66"/>
      <c r="J352" s="66"/>
      <c r="K352" s="66">
        <f t="shared" si="21"/>
        <v>0</v>
      </c>
      <c r="L352" s="66">
        <f t="shared" si="22"/>
        <v>0</v>
      </c>
      <c r="M352" s="66" t="str">
        <f t="shared" si="23"/>
        <v>UNPAID</v>
      </c>
    </row>
    <row r="353" spans="1:13" x14ac:dyDescent="0.3">
      <c r="A353" s="66">
        <f>'STUDENT DETAILS'!A350</f>
        <v>0</v>
      </c>
      <c r="B353" s="66">
        <f>'STUDENT DETAILS'!B350</f>
        <v>0</v>
      </c>
      <c r="C353" s="66">
        <f>'STUDENT DETAILS'!C350</f>
        <v>0</v>
      </c>
      <c r="D353" s="66">
        <f>'STUDENT DETAILS'!D350</f>
        <v>0</v>
      </c>
      <c r="E353" s="94">
        <f>'STUDENT DETAILS'!E350</f>
        <v>0</v>
      </c>
      <c r="F353" s="66" t="b">
        <f t="shared" si="20"/>
        <v>0</v>
      </c>
      <c r="G353" s="66"/>
      <c r="H353" s="66"/>
      <c r="I353" s="66"/>
      <c r="J353" s="66"/>
      <c r="K353" s="66">
        <f t="shared" si="21"/>
        <v>0</v>
      </c>
      <c r="L353" s="66">
        <f t="shared" si="22"/>
        <v>0</v>
      </c>
      <c r="M353" s="66" t="str">
        <f t="shared" si="23"/>
        <v>UNPAID</v>
      </c>
    </row>
    <row r="354" spans="1:13" x14ac:dyDescent="0.3">
      <c r="A354" s="66">
        <f>'STUDENT DETAILS'!A351</f>
        <v>0</v>
      </c>
      <c r="B354" s="66">
        <f>'STUDENT DETAILS'!B351</f>
        <v>0</v>
      </c>
      <c r="C354" s="66">
        <f>'STUDENT DETAILS'!C351</f>
        <v>0</v>
      </c>
      <c r="D354" s="66">
        <f>'STUDENT DETAILS'!D351</f>
        <v>0</v>
      </c>
      <c r="E354" s="94">
        <f>'STUDENT DETAILS'!E351</f>
        <v>0</v>
      </c>
      <c r="F354" s="66" t="b">
        <f t="shared" si="20"/>
        <v>0</v>
      </c>
      <c r="G354" s="66"/>
      <c r="H354" s="66"/>
      <c r="I354" s="66"/>
      <c r="J354" s="66"/>
      <c r="K354" s="66">
        <f t="shared" si="21"/>
        <v>0</v>
      </c>
      <c r="L354" s="66">
        <f t="shared" si="22"/>
        <v>0</v>
      </c>
      <c r="M354" s="66" t="str">
        <f t="shared" si="23"/>
        <v>UNPAID</v>
      </c>
    </row>
    <row r="355" spans="1:13" x14ac:dyDescent="0.3">
      <c r="A355" s="66">
        <f>'STUDENT DETAILS'!A352</f>
        <v>0</v>
      </c>
      <c r="B355" s="66">
        <f>'STUDENT DETAILS'!B352</f>
        <v>0</v>
      </c>
      <c r="C355" s="66">
        <f>'STUDENT DETAILS'!C352</f>
        <v>0</v>
      </c>
      <c r="D355" s="66">
        <f>'STUDENT DETAILS'!D352</f>
        <v>0</v>
      </c>
      <c r="E355" s="94">
        <f>'STUDENT DETAILS'!E352</f>
        <v>0</v>
      </c>
      <c r="F355" s="66" t="b">
        <f t="shared" si="20"/>
        <v>0</v>
      </c>
      <c r="G355" s="66"/>
      <c r="H355" s="66"/>
      <c r="I355" s="66"/>
      <c r="J355" s="66"/>
      <c r="K355" s="66">
        <f t="shared" si="21"/>
        <v>0</v>
      </c>
      <c r="L355" s="66">
        <f t="shared" si="22"/>
        <v>0</v>
      </c>
      <c r="M355" s="66" t="str">
        <f t="shared" si="23"/>
        <v>UNPAID</v>
      </c>
    </row>
    <row r="356" spans="1:13" x14ac:dyDescent="0.3">
      <c r="A356" s="66">
        <f>'STUDENT DETAILS'!A353</f>
        <v>0</v>
      </c>
      <c r="B356" s="66">
        <f>'STUDENT DETAILS'!B353</f>
        <v>0</v>
      </c>
      <c r="C356" s="66">
        <f>'STUDENT DETAILS'!C353</f>
        <v>0</v>
      </c>
      <c r="D356" s="66">
        <f>'STUDENT DETAILS'!D353</f>
        <v>0</v>
      </c>
      <c r="E356" s="94">
        <f>'STUDENT DETAILS'!E353</f>
        <v>0</v>
      </c>
      <c r="F356" s="66" t="b">
        <f t="shared" si="20"/>
        <v>0</v>
      </c>
      <c r="G356" s="66"/>
      <c r="H356" s="66"/>
      <c r="I356" s="66"/>
      <c r="J356" s="66"/>
      <c r="K356" s="66">
        <f t="shared" si="21"/>
        <v>0</v>
      </c>
      <c r="L356" s="66">
        <f t="shared" si="22"/>
        <v>0</v>
      </c>
      <c r="M356" s="66" t="str">
        <f t="shared" si="23"/>
        <v>UNPAID</v>
      </c>
    </row>
    <row r="357" spans="1:13" x14ac:dyDescent="0.3">
      <c r="A357" s="66">
        <f>'STUDENT DETAILS'!A354</f>
        <v>0</v>
      </c>
      <c r="B357" s="66">
        <f>'STUDENT DETAILS'!B354</f>
        <v>0</v>
      </c>
      <c r="C357" s="66">
        <f>'STUDENT DETAILS'!C354</f>
        <v>0</v>
      </c>
      <c r="D357" s="66">
        <f>'STUDENT DETAILS'!D354</f>
        <v>0</v>
      </c>
      <c r="E357" s="94">
        <f>'STUDENT DETAILS'!E354</f>
        <v>0</v>
      </c>
      <c r="F357" s="66" t="b">
        <f t="shared" si="20"/>
        <v>0</v>
      </c>
      <c r="G357" s="66"/>
      <c r="H357" s="66"/>
      <c r="I357" s="66"/>
      <c r="J357" s="66"/>
      <c r="K357" s="66">
        <f t="shared" si="21"/>
        <v>0</v>
      </c>
      <c r="L357" s="66">
        <f t="shared" si="22"/>
        <v>0</v>
      </c>
      <c r="M357" s="66" t="str">
        <f t="shared" si="23"/>
        <v>UNPAID</v>
      </c>
    </row>
    <row r="358" spans="1:13" x14ac:dyDescent="0.3">
      <c r="A358" s="66">
        <f>'STUDENT DETAILS'!A355</f>
        <v>0</v>
      </c>
      <c r="B358" s="66">
        <f>'STUDENT DETAILS'!B355</f>
        <v>0</v>
      </c>
      <c r="C358" s="66">
        <f>'STUDENT DETAILS'!C355</f>
        <v>0</v>
      </c>
      <c r="D358" s="66">
        <f>'STUDENT DETAILS'!D355</f>
        <v>0</v>
      </c>
      <c r="E358" s="94">
        <f>'STUDENT DETAILS'!E355</f>
        <v>0</v>
      </c>
      <c r="F358" s="66" t="b">
        <f t="shared" si="20"/>
        <v>0</v>
      </c>
      <c r="G358" s="66"/>
      <c r="H358" s="66"/>
      <c r="I358" s="66"/>
      <c r="J358" s="66"/>
      <c r="K358" s="66">
        <f t="shared" si="21"/>
        <v>0</v>
      </c>
      <c r="L358" s="66">
        <f t="shared" si="22"/>
        <v>0</v>
      </c>
      <c r="M358" s="66" t="str">
        <f t="shared" si="23"/>
        <v>UNPAID</v>
      </c>
    </row>
    <row r="359" spans="1:13" x14ac:dyDescent="0.3">
      <c r="A359" s="66">
        <f>'STUDENT DETAILS'!A356</f>
        <v>0</v>
      </c>
      <c r="B359" s="66">
        <f>'STUDENT DETAILS'!B356</f>
        <v>0</v>
      </c>
      <c r="C359" s="66">
        <f>'STUDENT DETAILS'!C356</f>
        <v>0</v>
      </c>
      <c r="D359" s="66">
        <f>'STUDENT DETAILS'!D356</f>
        <v>0</v>
      </c>
      <c r="E359" s="94">
        <f>'STUDENT DETAILS'!E356</f>
        <v>0</v>
      </c>
      <c r="F359" s="66" t="b">
        <f t="shared" si="20"/>
        <v>0</v>
      </c>
      <c r="G359" s="66"/>
      <c r="H359" s="66"/>
      <c r="I359" s="66"/>
      <c r="J359" s="66"/>
      <c r="K359" s="66">
        <f t="shared" si="21"/>
        <v>0</v>
      </c>
      <c r="L359" s="66">
        <f t="shared" si="22"/>
        <v>0</v>
      </c>
      <c r="M359" s="66" t="str">
        <f t="shared" si="23"/>
        <v>UNPAID</v>
      </c>
    </row>
    <row r="360" spans="1:13" x14ac:dyDescent="0.3">
      <c r="A360" s="66">
        <f>'STUDENT DETAILS'!A357</f>
        <v>0</v>
      </c>
      <c r="B360" s="66">
        <f>'STUDENT DETAILS'!B357</f>
        <v>0</v>
      </c>
      <c r="C360" s="66">
        <f>'STUDENT DETAILS'!C357</f>
        <v>0</v>
      </c>
      <c r="D360" s="66">
        <f>'STUDENT DETAILS'!D357</f>
        <v>0</v>
      </c>
      <c r="E360" s="94">
        <f>'STUDENT DETAILS'!E357</f>
        <v>0</v>
      </c>
      <c r="F360" s="66" t="b">
        <f t="shared" si="20"/>
        <v>0</v>
      </c>
      <c r="G360" s="66"/>
      <c r="H360" s="66"/>
      <c r="I360" s="66"/>
      <c r="J360" s="66"/>
      <c r="K360" s="66">
        <f t="shared" si="21"/>
        <v>0</v>
      </c>
      <c r="L360" s="66">
        <f t="shared" si="22"/>
        <v>0</v>
      </c>
      <c r="M360" s="66" t="str">
        <f t="shared" si="23"/>
        <v>UNPAID</v>
      </c>
    </row>
    <row r="361" spans="1:13" x14ac:dyDescent="0.3">
      <c r="A361" s="66">
        <f>'STUDENT DETAILS'!A358</f>
        <v>0</v>
      </c>
      <c r="B361" s="66">
        <f>'STUDENT DETAILS'!B358</f>
        <v>0</v>
      </c>
      <c r="C361" s="66">
        <f>'STUDENT DETAILS'!C358</f>
        <v>0</v>
      </c>
      <c r="D361" s="66">
        <f>'STUDENT DETAILS'!D358</f>
        <v>0</v>
      </c>
      <c r="E361" s="94">
        <f>'STUDENT DETAILS'!E358</f>
        <v>0</v>
      </c>
      <c r="F361" s="66" t="b">
        <f t="shared" si="20"/>
        <v>0</v>
      </c>
      <c r="G361" s="66"/>
      <c r="H361" s="66"/>
      <c r="I361" s="66"/>
      <c r="J361" s="66"/>
      <c r="K361" s="66">
        <f t="shared" si="21"/>
        <v>0</v>
      </c>
      <c r="L361" s="66">
        <f t="shared" si="22"/>
        <v>0</v>
      </c>
      <c r="M361" s="66" t="str">
        <f t="shared" si="23"/>
        <v>UNPAID</v>
      </c>
    </row>
    <row r="362" spans="1:13" x14ac:dyDescent="0.3">
      <c r="A362" s="66">
        <f>'STUDENT DETAILS'!A359</f>
        <v>0</v>
      </c>
      <c r="B362" s="66">
        <f>'STUDENT DETAILS'!B359</f>
        <v>0</v>
      </c>
      <c r="C362" s="66">
        <f>'STUDENT DETAILS'!C359</f>
        <v>0</v>
      </c>
      <c r="D362" s="66">
        <f>'STUDENT DETAILS'!D359</f>
        <v>0</v>
      </c>
      <c r="E362" s="94">
        <f>'STUDENT DETAILS'!E359</f>
        <v>0</v>
      </c>
      <c r="F362" s="66" t="b">
        <f t="shared" si="20"/>
        <v>0</v>
      </c>
      <c r="G362" s="66"/>
      <c r="H362" s="66"/>
      <c r="I362" s="66"/>
      <c r="J362" s="66"/>
      <c r="K362" s="66">
        <f t="shared" si="21"/>
        <v>0</v>
      </c>
      <c r="L362" s="66">
        <f t="shared" si="22"/>
        <v>0</v>
      </c>
      <c r="M362" s="66" t="str">
        <f t="shared" si="23"/>
        <v>UNPAID</v>
      </c>
    </row>
    <row r="363" spans="1:13" x14ac:dyDescent="0.3">
      <c r="A363" s="66">
        <f>'STUDENT DETAILS'!A360</f>
        <v>0</v>
      </c>
      <c r="B363" s="66">
        <f>'STUDENT DETAILS'!B360</f>
        <v>0</v>
      </c>
      <c r="C363" s="66">
        <f>'STUDENT DETAILS'!C360</f>
        <v>0</v>
      </c>
      <c r="D363" s="66">
        <f>'STUDENT DETAILS'!D360</f>
        <v>0</v>
      </c>
      <c r="E363" s="94">
        <f>'STUDENT DETAILS'!E360</f>
        <v>0</v>
      </c>
      <c r="F363" s="66" t="b">
        <f t="shared" si="20"/>
        <v>0</v>
      </c>
      <c r="G363" s="66"/>
      <c r="H363" s="66"/>
      <c r="I363" s="66"/>
      <c r="J363" s="66"/>
      <c r="K363" s="66">
        <f t="shared" si="21"/>
        <v>0</v>
      </c>
      <c r="L363" s="66">
        <f t="shared" si="22"/>
        <v>0</v>
      </c>
      <c r="M363" s="66" t="str">
        <f t="shared" si="23"/>
        <v>UNPAID</v>
      </c>
    </row>
    <row r="364" spans="1:13" x14ac:dyDescent="0.3">
      <c r="A364" s="66">
        <f>'STUDENT DETAILS'!A361</f>
        <v>0</v>
      </c>
      <c r="B364" s="66">
        <f>'STUDENT DETAILS'!B361</f>
        <v>0</v>
      </c>
      <c r="C364" s="66">
        <f>'STUDENT DETAILS'!C361</f>
        <v>0</v>
      </c>
      <c r="D364" s="66">
        <f>'STUDENT DETAILS'!D361</f>
        <v>0</v>
      </c>
      <c r="E364" s="94">
        <f>'STUDENT DETAILS'!E361</f>
        <v>0</v>
      </c>
      <c r="F364" s="66" t="b">
        <f t="shared" si="20"/>
        <v>0</v>
      </c>
      <c r="G364" s="66"/>
      <c r="H364" s="66"/>
      <c r="I364" s="66"/>
      <c r="J364" s="66"/>
      <c r="K364" s="66">
        <f t="shared" si="21"/>
        <v>0</v>
      </c>
      <c r="L364" s="66">
        <f t="shared" si="22"/>
        <v>0</v>
      </c>
      <c r="M364" s="66" t="str">
        <f t="shared" si="23"/>
        <v>UNPAID</v>
      </c>
    </row>
    <row r="365" spans="1:13" x14ac:dyDescent="0.3">
      <c r="A365" s="66">
        <f>'STUDENT DETAILS'!A362</f>
        <v>0</v>
      </c>
      <c r="B365" s="66">
        <f>'STUDENT DETAILS'!B362</f>
        <v>0</v>
      </c>
      <c r="C365" s="66">
        <f>'STUDENT DETAILS'!C362</f>
        <v>0</v>
      </c>
      <c r="D365" s="66">
        <f>'STUDENT DETAILS'!D362</f>
        <v>0</v>
      </c>
      <c r="E365" s="94">
        <f>'STUDENT DETAILS'!E362</f>
        <v>0</v>
      </c>
      <c r="F365" s="66" t="b">
        <f t="shared" si="20"/>
        <v>0</v>
      </c>
      <c r="G365" s="66"/>
      <c r="H365" s="66"/>
      <c r="I365" s="66"/>
      <c r="J365" s="66"/>
      <c r="K365" s="66">
        <f t="shared" si="21"/>
        <v>0</v>
      </c>
      <c r="L365" s="66">
        <f t="shared" si="22"/>
        <v>0</v>
      </c>
      <c r="M365" s="66" t="str">
        <f t="shared" si="23"/>
        <v>UNPAID</v>
      </c>
    </row>
    <row r="366" spans="1:13" x14ac:dyDescent="0.3">
      <c r="A366" s="66">
        <f>'STUDENT DETAILS'!A363</f>
        <v>0</v>
      </c>
      <c r="B366" s="66">
        <f>'STUDENT DETAILS'!B363</f>
        <v>0</v>
      </c>
      <c r="C366" s="66">
        <f>'STUDENT DETAILS'!C363</f>
        <v>0</v>
      </c>
      <c r="D366" s="66">
        <f>'STUDENT DETAILS'!D363</f>
        <v>0</v>
      </c>
      <c r="E366" s="94">
        <f>'STUDENT DETAILS'!E363</f>
        <v>0</v>
      </c>
      <c r="F366" s="66" t="b">
        <f t="shared" si="20"/>
        <v>0</v>
      </c>
      <c r="G366" s="66"/>
      <c r="H366" s="66"/>
      <c r="I366" s="66"/>
      <c r="J366" s="66"/>
      <c r="K366" s="66">
        <f t="shared" si="21"/>
        <v>0</v>
      </c>
      <c r="L366" s="66">
        <f t="shared" si="22"/>
        <v>0</v>
      </c>
      <c r="M366" s="66" t="str">
        <f t="shared" si="23"/>
        <v>UNPAID</v>
      </c>
    </row>
    <row r="367" spans="1:13" x14ac:dyDescent="0.3">
      <c r="A367" s="66">
        <f>'STUDENT DETAILS'!A364</f>
        <v>0</v>
      </c>
      <c r="B367" s="66">
        <f>'STUDENT DETAILS'!B364</f>
        <v>0</v>
      </c>
      <c r="C367" s="66">
        <f>'STUDENT DETAILS'!C364</f>
        <v>0</v>
      </c>
      <c r="D367" s="66">
        <f>'STUDENT DETAILS'!D364</f>
        <v>0</v>
      </c>
      <c r="E367" s="94">
        <f>'STUDENT DETAILS'!E364</f>
        <v>0</v>
      </c>
      <c r="F367" s="66" t="b">
        <f t="shared" si="20"/>
        <v>0</v>
      </c>
      <c r="G367" s="66"/>
      <c r="H367" s="66"/>
      <c r="I367" s="66"/>
      <c r="J367" s="66"/>
      <c r="K367" s="66">
        <f t="shared" si="21"/>
        <v>0</v>
      </c>
      <c r="L367" s="66">
        <f t="shared" si="22"/>
        <v>0</v>
      </c>
      <c r="M367" s="66" t="str">
        <f t="shared" si="23"/>
        <v>UNPAID</v>
      </c>
    </row>
    <row r="368" spans="1:13" x14ac:dyDescent="0.3">
      <c r="A368" s="66">
        <f>'STUDENT DETAILS'!A365</f>
        <v>0</v>
      </c>
      <c r="B368" s="66">
        <f>'STUDENT DETAILS'!B365</f>
        <v>0</v>
      </c>
      <c r="C368" s="66">
        <f>'STUDENT DETAILS'!C365</f>
        <v>0</v>
      </c>
      <c r="D368" s="66">
        <f>'STUDENT DETAILS'!D365</f>
        <v>0</v>
      </c>
      <c r="E368" s="94">
        <f>'STUDENT DETAILS'!E365</f>
        <v>0</v>
      </c>
      <c r="F368" s="66" t="b">
        <f t="shared" si="20"/>
        <v>0</v>
      </c>
      <c r="G368" s="66"/>
      <c r="H368" s="66"/>
      <c r="I368" s="66"/>
      <c r="J368" s="66"/>
      <c r="K368" s="66">
        <f t="shared" si="21"/>
        <v>0</v>
      </c>
      <c r="L368" s="66">
        <f t="shared" si="22"/>
        <v>0</v>
      </c>
      <c r="M368" s="66" t="str">
        <f t="shared" si="23"/>
        <v>UNPAID</v>
      </c>
    </row>
    <row r="369" spans="1:13" x14ac:dyDescent="0.3">
      <c r="A369" s="66">
        <f>'STUDENT DETAILS'!A366</f>
        <v>0</v>
      </c>
      <c r="B369" s="66">
        <f>'STUDENT DETAILS'!B366</f>
        <v>0</v>
      </c>
      <c r="C369" s="66">
        <f>'STUDENT DETAILS'!C366</f>
        <v>0</v>
      </c>
      <c r="D369" s="66">
        <f>'STUDENT DETAILS'!D366</f>
        <v>0</v>
      </c>
      <c r="E369" s="94">
        <f>'STUDENT DETAILS'!E366</f>
        <v>0</v>
      </c>
      <c r="F369" s="66" t="b">
        <f t="shared" si="20"/>
        <v>0</v>
      </c>
      <c r="G369" s="66"/>
      <c r="H369" s="66"/>
      <c r="I369" s="66"/>
      <c r="J369" s="66"/>
      <c r="K369" s="66">
        <f t="shared" si="21"/>
        <v>0</v>
      </c>
      <c r="L369" s="66">
        <f t="shared" si="22"/>
        <v>0</v>
      </c>
      <c r="M369" s="66" t="str">
        <f t="shared" si="23"/>
        <v>UNPAID</v>
      </c>
    </row>
    <row r="370" spans="1:13" x14ac:dyDescent="0.3">
      <c r="A370" s="66">
        <f>'STUDENT DETAILS'!A367</f>
        <v>0</v>
      </c>
      <c r="B370" s="66">
        <f>'STUDENT DETAILS'!B367</f>
        <v>0</v>
      </c>
      <c r="C370" s="66">
        <f>'STUDENT DETAILS'!C367</f>
        <v>0</v>
      </c>
      <c r="D370" s="66">
        <f>'STUDENT DETAILS'!D367</f>
        <v>0</v>
      </c>
      <c r="E370" s="94">
        <f>'STUDENT DETAILS'!E367</f>
        <v>0</v>
      </c>
      <c r="F370" s="66" t="b">
        <f t="shared" si="20"/>
        <v>0</v>
      </c>
      <c r="G370" s="66"/>
      <c r="H370" s="66"/>
      <c r="I370" s="66"/>
      <c r="J370" s="66"/>
      <c r="K370" s="66">
        <f t="shared" si="21"/>
        <v>0</v>
      </c>
      <c r="L370" s="66">
        <f t="shared" si="22"/>
        <v>0</v>
      </c>
      <c r="M370" s="66" t="str">
        <f t="shared" si="23"/>
        <v>UNPAID</v>
      </c>
    </row>
    <row r="371" spans="1:13" x14ac:dyDescent="0.3">
      <c r="A371" s="66">
        <f>'STUDENT DETAILS'!A368</f>
        <v>0</v>
      </c>
      <c r="B371" s="66">
        <f>'STUDENT DETAILS'!B368</f>
        <v>0</v>
      </c>
      <c r="C371" s="66">
        <f>'STUDENT DETAILS'!C368</f>
        <v>0</v>
      </c>
      <c r="D371" s="66">
        <f>'STUDENT DETAILS'!D368</f>
        <v>0</v>
      </c>
      <c r="E371" s="94">
        <f>'STUDENT DETAILS'!E368</f>
        <v>0</v>
      </c>
      <c r="F371" s="66" t="b">
        <f t="shared" si="20"/>
        <v>0</v>
      </c>
      <c r="G371" s="66"/>
      <c r="H371" s="66"/>
      <c r="I371" s="66"/>
      <c r="J371" s="66"/>
      <c r="K371" s="66">
        <f t="shared" si="21"/>
        <v>0</v>
      </c>
      <c r="L371" s="66">
        <f t="shared" si="22"/>
        <v>0</v>
      </c>
      <c r="M371" s="66" t="str">
        <f t="shared" si="23"/>
        <v>UNPAID</v>
      </c>
    </row>
    <row r="372" spans="1:13" x14ac:dyDescent="0.3">
      <c r="A372" s="66">
        <f>'STUDENT DETAILS'!A369</f>
        <v>0</v>
      </c>
      <c r="B372" s="66">
        <f>'STUDENT DETAILS'!B369</f>
        <v>0</v>
      </c>
      <c r="C372" s="66">
        <f>'STUDENT DETAILS'!C369</f>
        <v>0</v>
      </c>
      <c r="D372" s="66">
        <f>'STUDENT DETAILS'!D369</f>
        <v>0</v>
      </c>
      <c r="E372" s="94">
        <f>'STUDENT DETAILS'!E369</f>
        <v>0</v>
      </c>
      <c r="F372" s="66" t="b">
        <f t="shared" si="20"/>
        <v>0</v>
      </c>
      <c r="G372" s="66"/>
      <c r="H372" s="66"/>
      <c r="I372" s="66"/>
      <c r="J372" s="66"/>
      <c r="K372" s="66">
        <f t="shared" si="21"/>
        <v>0</v>
      </c>
      <c r="L372" s="66">
        <f t="shared" si="22"/>
        <v>0</v>
      </c>
      <c r="M372" s="66" t="str">
        <f t="shared" si="23"/>
        <v>UNPAID</v>
      </c>
    </row>
    <row r="373" spans="1:13" x14ac:dyDescent="0.3">
      <c r="A373" s="66">
        <f>'STUDENT DETAILS'!A370</f>
        <v>0</v>
      </c>
      <c r="B373" s="66">
        <f>'STUDENT DETAILS'!B370</f>
        <v>0</v>
      </c>
      <c r="C373" s="66">
        <f>'STUDENT DETAILS'!C370</f>
        <v>0</v>
      </c>
      <c r="D373" s="66">
        <f>'STUDENT DETAILS'!D370</f>
        <v>0</v>
      </c>
      <c r="E373" s="94">
        <f>'STUDENT DETAILS'!E370</f>
        <v>0</v>
      </c>
      <c r="F373" s="66" t="b">
        <f t="shared" si="20"/>
        <v>0</v>
      </c>
      <c r="G373" s="66"/>
      <c r="H373" s="66"/>
      <c r="I373" s="66"/>
      <c r="J373" s="66"/>
      <c r="K373" s="66">
        <f t="shared" si="21"/>
        <v>0</v>
      </c>
      <c r="L373" s="66">
        <f t="shared" si="22"/>
        <v>0</v>
      </c>
      <c r="M373" s="66" t="str">
        <f t="shared" si="23"/>
        <v>UNPAID</v>
      </c>
    </row>
    <row r="374" spans="1:13" x14ac:dyDescent="0.3">
      <c r="A374" s="66">
        <f>'STUDENT DETAILS'!A371</f>
        <v>0</v>
      </c>
      <c r="B374" s="66">
        <f>'STUDENT DETAILS'!B371</f>
        <v>0</v>
      </c>
      <c r="C374" s="66">
        <f>'STUDENT DETAILS'!C371</f>
        <v>0</v>
      </c>
      <c r="D374" s="66">
        <f>'STUDENT DETAILS'!D371</f>
        <v>0</v>
      </c>
      <c r="E374" s="94">
        <f>'STUDENT DETAILS'!E371</f>
        <v>0</v>
      </c>
      <c r="F374" s="66" t="b">
        <f t="shared" si="20"/>
        <v>0</v>
      </c>
      <c r="G374" s="66"/>
      <c r="H374" s="66"/>
      <c r="I374" s="66"/>
      <c r="J374" s="66"/>
      <c r="K374" s="66">
        <f t="shared" si="21"/>
        <v>0</v>
      </c>
      <c r="L374" s="66">
        <f t="shared" si="22"/>
        <v>0</v>
      </c>
      <c r="M374" s="66" t="str">
        <f t="shared" si="23"/>
        <v>UNPAID</v>
      </c>
    </row>
    <row r="375" spans="1:13" x14ac:dyDescent="0.3">
      <c r="A375" s="66">
        <f>'STUDENT DETAILS'!A372</f>
        <v>0</v>
      </c>
      <c r="B375" s="66">
        <f>'STUDENT DETAILS'!B372</f>
        <v>0</v>
      </c>
      <c r="C375" s="66">
        <f>'STUDENT DETAILS'!C372</f>
        <v>0</v>
      </c>
      <c r="D375" s="66">
        <f>'STUDENT DETAILS'!D372</f>
        <v>0</v>
      </c>
      <c r="E375" s="94">
        <f>'STUDENT DETAILS'!E372</f>
        <v>0</v>
      </c>
      <c r="F375" s="66" t="b">
        <f t="shared" si="20"/>
        <v>0</v>
      </c>
      <c r="G375" s="66"/>
      <c r="H375" s="66"/>
      <c r="I375" s="66"/>
      <c r="J375" s="66"/>
      <c r="K375" s="66">
        <f t="shared" si="21"/>
        <v>0</v>
      </c>
      <c r="L375" s="66">
        <f t="shared" si="22"/>
        <v>0</v>
      </c>
      <c r="M375" s="66" t="str">
        <f t="shared" si="23"/>
        <v>UNPAID</v>
      </c>
    </row>
    <row r="376" spans="1:13" x14ac:dyDescent="0.3">
      <c r="A376" s="66">
        <f>'STUDENT DETAILS'!A373</f>
        <v>0</v>
      </c>
      <c r="B376" s="66">
        <f>'STUDENT DETAILS'!B373</f>
        <v>0</v>
      </c>
      <c r="C376" s="66">
        <f>'STUDENT DETAILS'!C373</f>
        <v>0</v>
      </c>
      <c r="D376" s="66">
        <f>'STUDENT DETAILS'!D373</f>
        <v>0</v>
      </c>
      <c r="E376" s="94">
        <f>'STUDENT DETAILS'!E373</f>
        <v>0</v>
      </c>
      <c r="F376" s="66" t="b">
        <f t="shared" si="20"/>
        <v>0</v>
      </c>
      <c r="G376" s="66"/>
      <c r="H376" s="66"/>
      <c r="I376" s="66"/>
      <c r="J376" s="66"/>
      <c r="K376" s="66">
        <f t="shared" si="21"/>
        <v>0</v>
      </c>
      <c r="L376" s="66">
        <f t="shared" si="22"/>
        <v>0</v>
      </c>
      <c r="M376" s="66" t="str">
        <f t="shared" si="23"/>
        <v>UNPAID</v>
      </c>
    </row>
    <row r="377" spans="1:13" x14ac:dyDescent="0.3">
      <c r="A377" s="66">
        <f>'STUDENT DETAILS'!A374</f>
        <v>0</v>
      </c>
      <c r="B377" s="66">
        <f>'STUDENT DETAILS'!B374</f>
        <v>0</v>
      </c>
      <c r="C377" s="66">
        <f>'STUDENT DETAILS'!C374</f>
        <v>0</v>
      </c>
      <c r="D377" s="66">
        <f>'STUDENT DETAILS'!D374</f>
        <v>0</v>
      </c>
      <c r="E377" s="94">
        <f>'STUDENT DETAILS'!E374</f>
        <v>0</v>
      </c>
      <c r="F377" s="66" t="b">
        <f t="shared" si="20"/>
        <v>0</v>
      </c>
      <c r="G377" s="66"/>
      <c r="H377" s="66"/>
      <c r="I377" s="66"/>
      <c r="J377" s="66"/>
      <c r="K377" s="66">
        <f t="shared" si="21"/>
        <v>0</v>
      </c>
      <c r="L377" s="66">
        <f t="shared" si="22"/>
        <v>0</v>
      </c>
      <c r="M377" s="66" t="str">
        <f t="shared" si="23"/>
        <v>UNPAID</v>
      </c>
    </row>
    <row r="378" spans="1:13" x14ac:dyDescent="0.3">
      <c r="A378" s="66">
        <f>'STUDENT DETAILS'!A375</f>
        <v>0</v>
      </c>
      <c r="B378" s="66">
        <f>'STUDENT DETAILS'!B375</f>
        <v>0</v>
      </c>
      <c r="C378" s="66">
        <f>'STUDENT DETAILS'!C375</f>
        <v>0</v>
      </c>
      <c r="D378" s="66">
        <f>'STUDENT DETAILS'!D375</f>
        <v>0</v>
      </c>
      <c r="E378" s="94">
        <f>'STUDENT DETAILS'!E375</f>
        <v>0</v>
      </c>
      <c r="F378" s="66" t="b">
        <f t="shared" si="20"/>
        <v>0</v>
      </c>
      <c r="G378" s="66"/>
      <c r="H378" s="66"/>
      <c r="I378" s="66"/>
      <c r="J378" s="66"/>
      <c r="K378" s="66">
        <f t="shared" si="21"/>
        <v>0</v>
      </c>
      <c r="L378" s="66">
        <f t="shared" si="22"/>
        <v>0</v>
      </c>
      <c r="M378" s="66" t="str">
        <f t="shared" si="23"/>
        <v>UNPAID</v>
      </c>
    </row>
    <row r="379" spans="1:13" x14ac:dyDescent="0.3">
      <c r="A379" s="66">
        <f>'STUDENT DETAILS'!A376</f>
        <v>0</v>
      </c>
      <c r="B379" s="66">
        <f>'STUDENT DETAILS'!B376</f>
        <v>0</v>
      </c>
      <c r="C379" s="66">
        <f>'STUDENT DETAILS'!C376</f>
        <v>0</v>
      </c>
      <c r="D379" s="66">
        <f>'STUDENT DETAILS'!D376</f>
        <v>0</v>
      </c>
      <c r="E379" s="94">
        <f>'STUDENT DETAILS'!E376</f>
        <v>0</v>
      </c>
      <c r="F379" s="66" t="b">
        <f t="shared" si="20"/>
        <v>0</v>
      </c>
      <c r="G379" s="66"/>
      <c r="H379" s="66"/>
      <c r="I379" s="66"/>
      <c r="J379" s="66"/>
      <c r="K379" s="66">
        <f t="shared" si="21"/>
        <v>0</v>
      </c>
      <c r="L379" s="66">
        <f t="shared" si="22"/>
        <v>0</v>
      </c>
      <c r="M379" s="66" t="str">
        <f t="shared" si="23"/>
        <v>UNPAID</v>
      </c>
    </row>
    <row r="380" spans="1:13" x14ac:dyDescent="0.3">
      <c r="A380" s="66">
        <f>'STUDENT DETAILS'!A377</f>
        <v>0</v>
      </c>
      <c r="B380" s="66">
        <f>'STUDENT DETAILS'!B377</f>
        <v>0</v>
      </c>
      <c r="C380" s="66">
        <f>'STUDENT DETAILS'!C377</f>
        <v>0</v>
      </c>
      <c r="D380" s="66">
        <f>'STUDENT DETAILS'!D377</f>
        <v>0</v>
      </c>
      <c r="E380" s="94">
        <f>'STUDENT DETAILS'!E377</f>
        <v>0</v>
      </c>
      <c r="F380" s="66" t="b">
        <f t="shared" si="20"/>
        <v>0</v>
      </c>
      <c r="G380" s="66"/>
      <c r="H380" s="66"/>
      <c r="I380" s="66"/>
      <c r="J380" s="66"/>
      <c r="K380" s="66">
        <f t="shared" si="21"/>
        <v>0</v>
      </c>
      <c r="L380" s="66">
        <f t="shared" si="22"/>
        <v>0</v>
      </c>
      <c r="M380" s="66" t="str">
        <f t="shared" si="23"/>
        <v>UNPAID</v>
      </c>
    </row>
    <row r="381" spans="1:13" x14ac:dyDescent="0.3">
      <c r="A381" s="66">
        <f>'STUDENT DETAILS'!A378</f>
        <v>0</v>
      </c>
      <c r="B381" s="66">
        <f>'STUDENT DETAILS'!B378</f>
        <v>0</v>
      </c>
      <c r="C381" s="66">
        <f>'STUDENT DETAILS'!C378</f>
        <v>0</v>
      </c>
      <c r="D381" s="66">
        <f>'STUDENT DETAILS'!D378</f>
        <v>0</v>
      </c>
      <c r="E381" s="94">
        <f>'STUDENT DETAILS'!E378</f>
        <v>0</v>
      </c>
      <c r="F381" s="66" t="b">
        <f t="shared" si="20"/>
        <v>0</v>
      </c>
      <c r="G381" s="66"/>
      <c r="H381" s="66"/>
      <c r="I381" s="66"/>
      <c r="J381" s="66"/>
      <c r="K381" s="66">
        <f t="shared" si="21"/>
        <v>0</v>
      </c>
      <c r="L381" s="66">
        <f t="shared" si="22"/>
        <v>0</v>
      </c>
      <c r="M381" s="66" t="str">
        <f t="shared" si="23"/>
        <v>UNPAID</v>
      </c>
    </row>
    <row r="382" spans="1:13" x14ac:dyDescent="0.3">
      <c r="A382" s="66">
        <f>'STUDENT DETAILS'!A379</f>
        <v>0</v>
      </c>
      <c r="B382" s="66">
        <f>'STUDENT DETAILS'!B379</f>
        <v>0</v>
      </c>
      <c r="C382" s="66">
        <f>'STUDENT DETAILS'!C379</f>
        <v>0</v>
      </c>
      <c r="D382" s="66">
        <f>'STUDENT DETAILS'!D379</f>
        <v>0</v>
      </c>
      <c r="E382" s="94">
        <f>'STUDENT DETAILS'!E379</f>
        <v>0</v>
      </c>
      <c r="F382" s="66" t="b">
        <f t="shared" si="20"/>
        <v>0</v>
      </c>
      <c r="G382" s="66"/>
      <c r="H382" s="66"/>
      <c r="I382" s="66"/>
      <c r="J382" s="66"/>
      <c r="K382" s="66">
        <f t="shared" si="21"/>
        <v>0</v>
      </c>
      <c r="L382" s="66">
        <f t="shared" si="22"/>
        <v>0</v>
      </c>
      <c r="M382" s="66" t="str">
        <f t="shared" si="23"/>
        <v>UNPAID</v>
      </c>
    </row>
    <row r="383" spans="1:13" x14ac:dyDescent="0.3">
      <c r="A383" s="66">
        <f>'STUDENT DETAILS'!A380</f>
        <v>0</v>
      </c>
      <c r="B383" s="66">
        <f>'STUDENT DETAILS'!B380</f>
        <v>0</v>
      </c>
      <c r="C383" s="66">
        <f>'STUDENT DETAILS'!C380</f>
        <v>0</v>
      </c>
      <c r="D383" s="66">
        <f>'STUDENT DETAILS'!D380</f>
        <v>0</v>
      </c>
      <c r="E383" s="94">
        <f>'STUDENT DETAILS'!E380</f>
        <v>0</v>
      </c>
      <c r="F383" s="66" t="b">
        <f t="shared" si="20"/>
        <v>0</v>
      </c>
      <c r="G383" s="66"/>
      <c r="H383" s="66"/>
      <c r="I383" s="66"/>
      <c r="J383" s="66"/>
      <c r="K383" s="66">
        <f t="shared" si="21"/>
        <v>0</v>
      </c>
      <c r="L383" s="66">
        <f t="shared" si="22"/>
        <v>0</v>
      </c>
      <c r="M383" s="66" t="str">
        <f t="shared" si="23"/>
        <v>UNPAID</v>
      </c>
    </row>
    <row r="384" spans="1:13" x14ac:dyDescent="0.3">
      <c r="A384" s="66">
        <f>'STUDENT DETAILS'!A381</f>
        <v>0</v>
      </c>
      <c r="B384" s="66">
        <f>'STUDENT DETAILS'!B381</f>
        <v>0</v>
      </c>
      <c r="C384" s="66">
        <f>'STUDENT DETAILS'!C381</f>
        <v>0</v>
      </c>
      <c r="D384" s="66">
        <f>'STUDENT DETAILS'!D381</f>
        <v>0</v>
      </c>
      <c r="E384" s="94">
        <f>'STUDENT DETAILS'!E381</f>
        <v>0</v>
      </c>
      <c r="F384" s="66" t="b">
        <f t="shared" si="20"/>
        <v>0</v>
      </c>
      <c r="G384" s="66"/>
      <c r="H384" s="66"/>
      <c r="I384" s="66"/>
      <c r="J384" s="66"/>
      <c r="K384" s="66">
        <f t="shared" si="21"/>
        <v>0</v>
      </c>
      <c r="L384" s="66">
        <f t="shared" si="22"/>
        <v>0</v>
      </c>
      <c r="M384" s="66" t="str">
        <f t="shared" si="23"/>
        <v>UNPAID</v>
      </c>
    </row>
    <row r="385" spans="1:13" x14ac:dyDescent="0.3">
      <c r="A385" s="66">
        <f>'STUDENT DETAILS'!A382</f>
        <v>0</v>
      </c>
      <c r="B385" s="66">
        <f>'STUDENT DETAILS'!B382</f>
        <v>0</v>
      </c>
      <c r="C385" s="66">
        <f>'STUDENT DETAILS'!C382</f>
        <v>0</v>
      </c>
      <c r="D385" s="66">
        <f>'STUDENT DETAILS'!D382</f>
        <v>0</v>
      </c>
      <c r="E385" s="94">
        <f>'STUDENT DETAILS'!E382</f>
        <v>0</v>
      </c>
      <c r="F385" s="66" t="b">
        <f t="shared" si="20"/>
        <v>0</v>
      </c>
      <c r="G385" s="66"/>
      <c r="H385" s="66"/>
      <c r="I385" s="66"/>
      <c r="J385" s="66"/>
      <c r="K385" s="66">
        <f t="shared" si="21"/>
        <v>0</v>
      </c>
      <c r="L385" s="66">
        <f t="shared" si="22"/>
        <v>0</v>
      </c>
      <c r="M385" s="66" t="str">
        <f t="shared" si="23"/>
        <v>UNPAID</v>
      </c>
    </row>
    <row r="386" spans="1:13" x14ac:dyDescent="0.3">
      <c r="A386" s="66">
        <f>'STUDENT DETAILS'!A383</f>
        <v>0</v>
      </c>
      <c r="B386" s="66">
        <f>'STUDENT DETAILS'!B383</f>
        <v>0</v>
      </c>
      <c r="C386" s="66">
        <f>'STUDENT DETAILS'!C383</f>
        <v>0</v>
      </c>
      <c r="D386" s="66">
        <f>'STUDENT DETAILS'!D383</f>
        <v>0</v>
      </c>
      <c r="E386" s="94">
        <f>'STUDENT DETAILS'!E383</f>
        <v>0</v>
      </c>
      <c r="F386" s="66" t="b">
        <f t="shared" si="20"/>
        <v>0</v>
      </c>
      <c r="G386" s="66"/>
      <c r="H386" s="66"/>
      <c r="I386" s="66"/>
      <c r="J386" s="66"/>
      <c r="K386" s="66">
        <f t="shared" si="21"/>
        <v>0</v>
      </c>
      <c r="L386" s="66">
        <f t="shared" si="22"/>
        <v>0</v>
      </c>
      <c r="M386" s="66" t="str">
        <f t="shared" si="23"/>
        <v>UNPAID</v>
      </c>
    </row>
    <row r="387" spans="1:13" x14ac:dyDescent="0.3">
      <c r="A387" s="66">
        <f>'STUDENT DETAILS'!A384</f>
        <v>0</v>
      </c>
      <c r="B387" s="66">
        <f>'STUDENT DETAILS'!B384</f>
        <v>0</v>
      </c>
      <c r="C387" s="66">
        <f>'STUDENT DETAILS'!C384</f>
        <v>0</v>
      </c>
      <c r="D387" s="66">
        <f>'STUDENT DETAILS'!D384</f>
        <v>0</v>
      </c>
      <c r="E387" s="94">
        <f>'STUDENT DETAILS'!E384</f>
        <v>0</v>
      </c>
      <c r="F387" s="66" t="b">
        <f t="shared" si="20"/>
        <v>0</v>
      </c>
      <c r="G387" s="66"/>
      <c r="H387" s="66"/>
      <c r="I387" s="66"/>
      <c r="J387" s="66"/>
      <c r="K387" s="66">
        <f t="shared" si="21"/>
        <v>0</v>
      </c>
      <c r="L387" s="66">
        <f t="shared" si="22"/>
        <v>0</v>
      </c>
      <c r="M387" s="66" t="str">
        <f t="shared" si="23"/>
        <v>UNPAID</v>
      </c>
    </row>
    <row r="388" spans="1:13" x14ac:dyDescent="0.3">
      <c r="A388" s="66">
        <f>'STUDENT DETAILS'!A385</f>
        <v>0</v>
      </c>
      <c r="B388" s="66">
        <f>'STUDENT DETAILS'!B385</f>
        <v>0</v>
      </c>
      <c r="C388" s="66">
        <f>'STUDENT DETAILS'!C385</f>
        <v>0</v>
      </c>
      <c r="D388" s="66">
        <f>'STUDENT DETAILS'!D385</f>
        <v>0</v>
      </c>
      <c r="E388" s="94">
        <f>'STUDENT DETAILS'!E385</f>
        <v>0</v>
      </c>
      <c r="F388" s="66" t="b">
        <f t="shared" si="20"/>
        <v>0</v>
      </c>
      <c r="G388" s="66"/>
      <c r="H388" s="66"/>
      <c r="I388" s="66"/>
      <c r="J388" s="66"/>
      <c r="K388" s="66">
        <f t="shared" si="21"/>
        <v>0</v>
      </c>
      <c r="L388" s="66">
        <f t="shared" si="22"/>
        <v>0</v>
      </c>
      <c r="M388" s="66" t="str">
        <f t="shared" si="23"/>
        <v>UNPAID</v>
      </c>
    </row>
    <row r="389" spans="1:13" x14ac:dyDescent="0.3">
      <c r="A389" s="66">
        <f>'STUDENT DETAILS'!A386</f>
        <v>0</v>
      </c>
      <c r="B389" s="66">
        <f>'STUDENT DETAILS'!B386</f>
        <v>0</v>
      </c>
      <c r="C389" s="66">
        <f>'STUDENT DETAILS'!C386</f>
        <v>0</v>
      </c>
      <c r="D389" s="66">
        <f>'STUDENT DETAILS'!D386</f>
        <v>0</v>
      </c>
      <c r="E389" s="94">
        <f>'STUDENT DETAILS'!E386</f>
        <v>0</v>
      </c>
      <c r="F389" s="66" t="b">
        <f t="shared" si="20"/>
        <v>0</v>
      </c>
      <c r="G389" s="66"/>
      <c r="H389" s="66"/>
      <c r="I389" s="66"/>
      <c r="J389" s="66"/>
      <c r="K389" s="66">
        <f t="shared" si="21"/>
        <v>0</v>
      </c>
      <c r="L389" s="66">
        <f t="shared" si="22"/>
        <v>0</v>
      </c>
      <c r="M389" s="66" t="str">
        <f t="shared" si="23"/>
        <v>UNPAID</v>
      </c>
    </row>
    <row r="390" spans="1:13" x14ac:dyDescent="0.3">
      <c r="A390" s="66">
        <f>'STUDENT DETAILS'!A387</f>
        <v>0</v>
      </c>
      <c r="B390" s="66">
        <f>'STUDENT DETAILS'!B387</f>
        <v>0</v>
      </c>
      <c r="C390" s="66">
        <f>'STUDENT DETAILS'!C387</f>
        <v>0</v>
      </c>
      <c r="D390" s="66">
        <f>'STUDENT DETAILS'!D387</f>
        <v>0</v>
      </c>
      <c r="E390" s="94">
        <f>'STUDENT DETAILS'!E387</f>
        <v>0</v>
      </c>
      <c r="F390" s="66" t="b">
        <f t="shared" si="20"/>
        <v>0</v>
      </c>
      <c r="G390" s="66"/>
      <c r="H390" s="66"/>
      <c r="I390" s="66"/>
      <c r="J390" s="66"/>
      <c r="K390" s="66">
        <f t="shared" si="21"/>
        <v>0</v>
      </c>
      <c r="L390" s="66">
        <f t="shared" si="22"/>
        <v>0</v>
      </c>
      <c r="M390" s="66" t="str">
        <f t="shared" si="23"/>
        <v>UNPAID</v>
      </c>
    </row>
    <row r="391" spans="1:13" x14ac:dyDescent="0.3">
      <c r="A391" s="66">
        <f>'STUDENT DETAILS'!A388</f>
        <v>0</v>
      </c>
      <c r="B391" s="66">
        <f>'STUDENT DETAILS'!B388</f>
        <v>0</v>
      </c>
      <c r="C391" s="66">
        <f>'STUDENT DETAILS'!C388</f>
        <v>0</v>
      </c>
      <c r="D391" s="66">
        <f>'STUDENT DETAILS'!D388</f>
        <v>0</v>
      </c>
      <c r="E391" s="94">
        <f>'STUDENT DETAILS'!E388</f>
        <v>0</v>
      </c>
      <c r="F391" s="66" t="b">
        <f t="shared" ref="F391:F454" si="24">IF(C391="LKG",2000,IF(C391="HKG",3000,IF(C391="1st",4000,IF(C391="2nd",5000,IF(C391="3rd",6000,IF(C391="4th",7000,IF(C391="5th",8000,IF(C391="6th",9000,IF(C391="7th",10000,IF(C391="8th",10500,IF(C391="9th",10700,IF(C391="10th",11000,IF(C391="",0)))))))))))))</f>
        <v>0</v>
      </c>
      <c r="G391" s="66"/>
      <c r="H391" s="66"/>
      <c r="I391" s="66"/>
      <c r="J391" s="66"/>
      <c r="K391" s="66">
        <f t="shared" ref="K391:K454" si="25">SUM(G391:J391)</f>
        <v>0</v>
      </c>
      <c r="L391" s="66">
        <f t="shared" ref="L391:L454" si="26">F391-K391</f>
        <v>0</v>
      </c>
      <c r="M391" s="66" t="str">
        <f t="shared" ref="M391:M454" si="27">IF(K391&gt;=F391,"COMPLETED","UNPAID")</f>
        <v>UNPAID</v>
      </c>
    </row>
    <row r="392" spans="1:13" x14ac:dyDescent="0.3">
      <c r="A392" s="66">
        <f>'STUDENT DETAILS'!A389</f>
        <v>0</v>
      </c>
      <c r="B392" s="66">
        <f>'STUDENT DETAILS'!B389</f>
        <v>0</v>
      </c>
      <c r="C392" s="66">
        <f>'STUDENT DETAILS'!C389</f>
        <v>0</v>
      </c>
      <c r="D392" s="66">
        <f>'STUDENT DETAILS'!D389</f>
        <v>0</v>
      </c>
      <c r="E392" s="94">
        <f>'STUDENT DETAILS'!E389</f>
        <v>0</v>
      </c>
      <c r="F392" s="66" t="b">
        <f t="shared" si="24"/>
        <v>0</v>
      </c>
      <c r="G392" s="66"/>
      <c r="H392" s="66"/>
      <c r="I392" s="66"/>
      <c r="J392" s="66"/>
      <c r="K392" s="66">
        <f t="shared" si="25"/>
        <v>0</v>
      </c>
      <c r="L392" s="66">
        <f t="shared" si="26"/>
        <v>0</v>
      </c>
      <c r="M392" s="66" t="str">
        <f t="shared" si="27"/>
        <v>UNPAID</v>
      </c>
    </row>
    <row r="393" spans="1:13" x14ac:dyDescent="0.3">
      <c r="A393" s="66">
        <f>'STUDENT DETAILS'!A390</f>
        <v>0</v>
      </c>
      <c r="B393" s="66">
        <f>'STUDENT DETAILS'!B390</f>
        <v>0</v>
      </c>
      <c r="C393" s="66">
        <f>'STUDENT DETAILS'!C390</f>
        <v>0</v>
      </c>
      <c r="D393" s="66">
        <f>'STUDENT DETAILS'!D390</f>
        <v>0</v>
      </c>
      <c r="E393" s="94">
        <f>'STUDENT DETAILS'!E390</f>
        <v>0</v>
      </c>
      <c r="F393" s="66" t="b">
        <f t="shared" si="24"/>
        <v>0</v>
      </c>
      <c r="G393" s="66"/>
      <c r="H393" s="66"/>
      <c r="I393" s="66"/>
      <c r="J393" s="66"/>
      <c r="K393" s="66">
        <f t="shared" si="25"/>
        <v>0</v>
      </c>
      <c r="L393" s="66">
        <f t="shared" si="26"/>
        <v>0</v>
      </c>
      <c r="M393" s="66" t="str">
        <f t="shared" si="27"/>
        <v>UNPAID</v>
      </c>
    </row>
    <row r="394" spans="1:13" x14ac:dyDescent="0.3">
      <c r="A394" s="66">
        <f>'STUDENT DETAILS'!A391</f>
        <v>0</v>
      </c>
      <c r="B394" s="66">
        <f>'STUDENT DETAILS'!B391</f>
        <v>0</v>
      </c>
      <c r="C394" s="66">
        <f>'STUDENT DETAILS'!C391</f>
        <v>0</v>
      </c>
      <c r="D394" s="66">
        <f>'STUDENT DETAILS'!D391</f>
        <v>0</v>
      </c>
      <c r="E394" s="94">
        <f>'STUDENT DETAILS'!E391</f>
        <v>0</v>
      </c>
      <c r="F394" s="66" t="b">
        <f t="shared" si="24"/>
        <v>0</v>
      </c>
      <c r="G394" s="66"/>
      <c r="H394" s="66"/>
      <c r="I394" s="66"/>
      <c r="J394" s="66"/>
      <c r="K394" s="66">
        <f t="shared" si="25"/>
        <v>0</v>
      </c>
      <c r="L394" s="66">
        <f t="shared" si="26"/>
        <v>0</v>
      </c>
      <c r="M394" s="66" t="str">
        <f t="shared" si="27"/>
        <v>UNPAID</v>
      </c>
    </row>
    <row r="395" spans="1:13" x14ac:dyDescent="0.3">
      <c r="A395" s="66">
        <f>'STUDENT DETAILS'!A392</f>
        <v>0</v>
      </c>
      <c r="B395" s="66">
        <f>'STUDENT DETAILS'!B392</f>
        <v>0</v>
      </c>
      <c r="C395" s="66">
        <f>'STUDENT DETAILS'!C392</f>
        <v>0</v>
      </c>
      <c r="D395" s="66">
        <f>'STUDENT DETAILS'!D392</f>
        <v>0</v>
      </c>
      <c r="E395" s="94">
        <f>'STUDENT DETAILS'!E392</f>
        <v>0</v>
      </c>
      <c r="F395" s="66" t="b">
        <f t="shared" si="24"/>
        <v>0</v>
      </c>
      <c r="G395" s="66"/>
      <c r="H395" s="66"/>
      <c r="I395" s="66"/>
      <c r="J395" s="66"/>
      <c r="K395" s="66">
        <f t="shared" si="25"/>
        <v>0</v>
      </c>
      <c r="L395" s="66">
        <f t="shared" si="26"/>
        <v>0</v>
      </c>
      <c r="M395" s="66" t="str">
        <f t="shared" si="27"/>
        <v>UNPAID</v>
      </c>
    </row>
    <row r="396" spans="1:13" x14ac:dyDescent="0.3">
      <c r="A396" s="66">
        <f>'STUDENT DETAILS'!A393</f>
        <v>0</v>
      </c>
      <c r="B396" s="66">
        <f>'STUDENT DETAILS'!B393</f>
        <v>0</v>
      </c>
      <c r="C396" s="66">
        <f>'STUDENT DETAILS'!C393</f>
        <v>0</v>
      </c>
      <c r="D396" s="66">
        <f>'STUDENT DETAILS'!D393</f>
        <v>0</v>
      </c>
      <c r="E396" s="94">
        <f>'STUDENT DETAILS'!E393</f>
        <v>0</v>
      </c>
      <c r="F396" s="66" t="b">
        <f t="shared" si="24"/>
        <v>0</v>
      </c>
      <c r="G396" s="66"/>
      <c r="H396" s="66"/>
      <c r="I396" s="66"/>
      <c r="J396" s="66"/>
      <c r="K396" s="66">
        <f t="shared" si="25"/>
        <v>0</v>
      </c>
      <c r="L396" s="66">
        <f t="shared" si="26"/>
        <v>0</v>
      </c>
      <c r="M396" s="66" t="str">
        <f t="shared" si="27"/>
        <v>UNPAID</v>
      </c>
    </row>
    <row r="397" spans="1:13" x14ac:dyDescent="0.3">
      <c r="A397" s="66">
        <f>'STUDENT DETAILS'!A394</f>
        <v>0</v>
      </c>
      <c r="B397" s="66">
        <f>'STUDENT DETAILS'!B394</f>
        <v>0</v>
      </c>
      <c r="C397" s="66">
        <f>'STUDENT DETAILS'!C394</f>
        <v>0</v>
      </c>
      <c r="D397" s="66">
        <f>'STUDENT DETAILS'!D394</f>
        <v>0</v>
      </c>
      <c r="E397" s="94">
        <f>'STUDENT DETAILS'!E394</f>
        <v>0</v>
      </c>
      <c r="F397" s="66" t="b">
        <f t="shared" si="24"/>
        <v>0</v>
      </c>
      <c r="G397" s="66"/>
      <c r="H397" s="66"/>
      <c r="I397" s="66"/>
      <c r="J397" s="66"/>
      <c r="K397" s="66">
        <f t="shared" si="25"/>
        <v>0</v>
      </c>
      <c r="L397" s="66">
        <f t="shared" si="26"/>
        <v>0</v>
      </c>
      <c r="M397" s="66" t="str">
        <f t="shared" si="27"/>
        <v>UNPAID</v>
      </c>
    </row>
    <row r="398" spans="1:13" x14ac:dyDescent="0.3">
      <c r="A398" s="66">
        <f>'STUDENT DETAILS'!A395</f>
        <v>0</v>
      </c>
      <c r="B398" s="66">
        <f>'STUDENT DETAILS'!B395</f>
        <v>0</v>
      </c>
      <c r="C398" s="66">
        <f>'STUDENT DETAILS'!C395</f>
        <v>0</v>
      </c>
      <c r="D398" s="66">
        <f>'STUDENT DETAILS'!D395</f>
        <v>0</v>
      </c>
      <c r="E398" s="94">
        <f>'STUDENT DETAILS'!E395</f>
        <v>0</v>
      </c>
      <c r="F398" s="66" t="b">
        <f t="shared" si="24"/>
        <v>0</v>
      </c>
      <c r="G398" s="66"/>
      <c r="H398" s="66"/>
      <c r="I398" s="66"/>
      <c r="J398" s="66"/>
      <c r="K398" s="66">
        <f t="shared" si="25"/>
        <v>0</v>
      </c>
      <c r="L398" s="66">
        <f t="shared" si="26"/>
        <v>0</v>
      </c>
      <c r="M398" s="66" t="str">
        <f t="shared" si="27"/>
        <v>UNPAID</v>
      </c>
    </row>
    <row r="399" spans="1:13" x14ac:dyDescent="0.3">
      <c r="A399" s="66">
        <f>'STUDENT DETAILS'!A396</f>
        <v>0</v>
      </c>
      <c r="B399" s="66">
        <f>'STUDENT DETAILS'!B396</f>
        <v>0</v>
      </c>
      <c r="C399" s="66">
        <f>'STUDENT DETAILS'!C396</f>
        <v>0</v>
      </c>
      <c r="D399" s="66">
        <f>'STUDENT DETAILS'!D396</f>
        <v>0</v>
      </c>
      <c r="E399" s="94">
        <f>'STUDENT DETAILS'!E396</f>
        <v>0</v>
      </c>
      <c r="F399" s="66" t="b">
        <f t="shared" si="24"/>
        <v>0</v>
      </c>
      <c r="G399" s="66"/>
      <c r="H399" s="66"/>
      <c r="I399" s="66"/>
      <c r="J399" s="66"/>
      <c r="K399" s="66">
        <f t="shared" si="25"/>
        <v>0</v>
      </c>
      <c r="L399" s="66">
        <f t="shared" si="26"/>
        <v>0</v>
      </c>
      <c r="M399" s="66" t="str">
        <f t="shared" si="27"/>
        <v>UNPAID</v>
      </c>
    </row>
    <row r="400" spans="1:13" x14ac:dyDescent="0.3">
      <c r="A400" s="66">
        <f>'STUDENT DETAILS'!A397</f>
        <v>0</v>
      </c>
      <c r="B400" s="66">
        <f>'STUDENT DETAILS'!B397</f>
        <v>0</v>
      </c>
      <c r="C400" s="66">
        <f>'STUDENT DETAILS'!C397</f>
        <v>0</v>
      </c>
      <c r="D400" s="66">
        <f>'STUDENT DETAILS'!D397</f>
        <v>0</v>
      </c>
      <c r="E400" s="94">
        <f>'STUDENT DETAILS'!E397</f>
        <v>0</v>
      </c>
      <c r="F400" s="66" t="b">
        <f t="shared" si="24"/>
        <v>0</v>
      </c>
      <c r="G400" s="66"/>
      <c r="H400" s="66"/>
      <c r="I400" s="66"/>
      <c r="J400" s="66"/>
      <c r="K400" s="66">
        <f t="shared" si="25"/>
        <v>0</v>
      </c>
      <c r="L400" s="66">
        <f t="shared" si="26"/>
        <v>0</v>
      </c>
      <c r="M400" s="66" t="str">
        <f t="shared" si="27"/>
        <v>UNPAID</v>
      </c>
    </row>
    <row r="401" spans="1:13" x14ac:dyDescent="0.3">
      <c r="A401" s="66">
        <f>'STUDENT DETAILS'!A398</f>
        <v>0</v>
      </c>
      <c r="B401" s="66">
        <f>'STUDENT DETAILS'!B398</f>
        <v>0</v>
      </c>
      <c r="C401" s="66">
        <f>'STUDENT DETAILS'!C398</f>
        <v>0</v>
      </c>
      <c r="D401" s="66">
        <f>'STUDENT DETAILS'!D398</f>
        <v>0</v>
      </c>
      <c r="E401" s="94">
        <f>'STUDENT DETAILS'!E398</f>
        <v>0</v>
      </c>
      <c r="F401" s="66" t="b">
        <f t="shared" si="24"/>
        <v>0</v>
      </c>
      <c r="G401" s="66"/>
      <c r="H401" s="66"/>
      <c r="I401" s="66"/>
      <c r="J401" s="66"/>
      <c r="K401" s="66">
        <f t="shared" si="25"/>
        <v>0</v>
      </c>
      <c r="L401" s="66">
        <f t="shared" si="26"/>
        <v>0</v>
      </c>
      <c r="M401" s="66" t="str">
        <f t="shared" si="27"/>
        <v>UNPAID</v>
      </c>
    </row>
    <row r="402" spans="1:13" x14ac:dyDescent="0.3">
      <c r="A402" s="66">
        <f>'STUDENT DETAILS'!A399</f>
        <v>0</v>
      </c>
      <c r="B402" s="66">
        <f>'STUDENT DETAILS'!B399</f>
        <v>0</v>
      </c>
      <c r="C402" s="66">
        <f>'STUDENT DETAILS'!C399</f>
        <v>0</v>
      </c>
      <c r="D402" s="66">
        <f>'STUDENT DETAILS'!D399</f>
        <v>0</v>
      </c>
      <c r="E402" s="94">
        <f>'STUDENT DETAILS'!E399</f>
        <v>0</v>
      </c>
      <c r="F402" s="66" t="b">
        <f t="shared" si="24"/>
        <v>0</v>
      </c>
      <c r="G402" s="66"/>
      <c r="H402" s="66"/>
      <c r="I402" s="66"/>
      <c r="J402" s="66"/>
      <c r="K402" s="66">
        <f t="shared" si="25"/>
        <v>0</v>
      </c>
      <c r="L402" s="66">
        <f t="shared" si="26"/>
        <v>0</v>
      </c>
      <c r="M402" s="66" t="str">
        <f t="shared" si="27"/>
        <v>UNPAID</v>
      </c>
    </row>
    <row r="403" spans="1:13" x14ac:dyDescent="0.3">
      <c r="A403" s="66">
        <f>'STUDENT DETAILS'!A400</f>
        <v>0</v>
      </c>
      <c r="B403" s="66">
        <f>'STUDENT DETAILS'!B400</f>
        <v>0</v>
      </c>
      <c r="C403" s="66">
        <f>'STUDENT DETAILS'!C400</f>
        <v>0</v>
      </c>
      <c r="D403" s="66">
        <f>'STUDENT DETAILS'!D400</f>
        <v>0</v>
      </c>
      <c r="E403" s="94">
        <f>'STUDENT DETAILS'!E400</f>
        <v>0</v>
      </c>
      <c r="F403" s="66" t="b">
        <f t="shared" si="24"/>
        <v>0</v>
      </c>
      <c r="G403" s="66"/>
      <c r="H403" s="66"/>
      <c r="I403" s="66"/>
      <c r="J403" s="66"/>
      <c r="K403" s="66">
        <f t="shared" si="25"/>
        <v>0</v>
      </c>
      <c r="L403" s="66">
        <f t="shared" si="26"/>
        <v>0</v>
      </c>
      <c r="M403" s="66" t="str">
        <f t="shared" si="27"/>
        <v>UNPAID</v>
      </c>
    </row>
    <row r="404" spans="1:13" x14ac:dyDescent="0.3">
      <c r="A404" s="66">
        <f>'STUDENT DETAILS'!A401</f>
        <v>0</v>
      </c>
      <c r="B404" s="66">
        <f>'STUDENT DETAILS'!B401</f>
        <v>0</v>
      </c>
      <c r="C404" s="66">
        <f>'STUDENT DETAILS'!C401</f>
        <v>0</v>
      </c>
      <c r="D404" s="66">
        <f>'STUDENT DETAILS'!D401</f>
        <v>0</v>
      </c>
      <c r="E404" s="94">
        <f>'STUDENT DETAILS'!E401</f>
        <v>0</v>
      </c>
      <c r="F404" s="66" t="b">
        <f t="shared" si="24"/>
        <v>0</v>
      </c>
      <c r="G404" s="66"/>
      <c r="H404" s="66"/>
      <c r="I404" s="66"/>
      <c r="J404" s="66"/>
      <c r="K404" s="66">
        <f t="shared" si="25"/>
        <v>0</v>
      </c>
      <c r="L404" s="66">
        <f t="shared" si="26"/>
        <v>0</v>
      </c>
      <c r="M404" s="66" t="str">
        <f t="shared" si="27"/>
        <v>UNPAID</v>
      </c>
    </row>
    <row r="405" spans="1:13" x14ac:dyDescent="0.3">
      <c r="A405" s="66">
        <f>'STUDENT DETAILS'!A402</f>
        <v>0</v>
      </c>
      <c r="B405" s="66">
        <f>'STUDENT DETAILS'!B402</f>
        <v>0</v>
      </c>
      <c r="C405" s="66">
        <f>'STUDENT DETAILS'!C402</f>
        <v>0</v>
      </c>
      <c r="D405" s="66">
        <f>'STUDENT DETAILS'!D402</f>
        <v>0</v>
      </c>
      <c r="E405" s="94">
        <f>'STUDENT DETAILS'!E402</f>
        <v>0</v>
      </c>
      <c r="F405" s="66" t="b">
        <f t="shared" si="24"/>
        <v>0</v>
      </c>
      <c r="G405" s="66"/>
      <c r="H405" s="66"/>
      <c r="I405" s="66"/>
      <c r="J405" s="66"/>
      <c r="K405" s="66">
        <f t="shared" si="25"/>
        <v>0</v>
      </c>
      <c r="L405" s="66">
        <f t="shared" si="26"/>
        <v>0</v>
      </c>
      <c r="M405" s="66" t="str">
        <f t="shared" si="27"/>
        <v>UNPAID</v>
      </c>
    </row>
    <row r="406" spans="1:13" x14ac:dyDescent="0.3">
      <c r="A406" s="66">
        <f>'STUDENT DETAILS'!A403</f>
        <v>0</v>
      </c>
      <c r="B406" s="66">
        <f>'STUDENT DETAILS'!B403</f>
        <v>0</v>
      </c>
      <c r="C406" s="66">
        <f>'STUDENT DETAILS'!C403</f>
        <v>0</v>
      </c>
      <c r="D406" s="66">
        <f>'STUDENT DETAILS'!D403</f>
        <v>0</v>
      </c>
      <c r="E406" s="94">
        <f>'STUDENT DETAILS'!E403</f>
        <v>0</v>
      </c>
      <c r="F406" s="66" t="b">
        <f t="shared" si="24"/>
        <v>0</v>
      </c>
      <c r="G406" s="66"/>
      <c r="H406" s="66"/>
      <c r="I406" s="66"/>
      <c r="J406" s="66"/>
      <c r="K406" s="66">
        <f t="shared" si="25"/>
        <v>0</v>
      </c>
      <c r="L406" s="66">
        <f t="shared" si="26"/>
        <v>0</v>
      </c>
      <c r="M406" s="66" t="str">
        <f t="shared" si="27"/>
        <v>UNPAID</v>
      </c>
    </row>
    <row r="407" spans="1:13" x14ac:dyDescent="0.3">
      <c r="A407" s="66">
        <f>'STUDENT DETAILS'!A404</f>
        <v>0</v>
      </c>
      <c r="B407" s="66">
        <f>'STUDENT DETAILS'!B404</f>
        <v>0</v>
      </c>
      <c r="C407" s="66">
        <f>'STUDENT DETAILS'!C404</f>
        <v>0</v>
      </c>
      <c r="D407" s="66">
        <f>'STUDENT DETAILS'!D404</f>
        <v>0</v>
      </c>
      <c r="E407" s="94">
        <f>'STUDENT DETAILS'!E404</f>
        <v>0</v>
      </c>
      <c r="F407" s="66" t="b">
        <f t="shared" si="24"/>
        <v>0</v>
      </c>
      <c r="G407" s="66"/>
      <c r="H407" s="66"/>
      <c r="I407" s="66"/>
      <c r="J407" s="66"/>
      <c r="K407" s="66">
        <f t="shared" si="25"/>
        <v>0</v>
      </c>
      <c r="L407" s="66">
        <f t="shared" si="26"/>
        <v>0</v>
      </c>
      <c r="M407" s="66" t="str">
        <f t="shared" si="27"/>
        <v>UNPAID</v>
      </c>
    </row>
    <row r="408" spans="1:13" x14ac:dyDescent="0.3">
      <c r="A408" s="66">
        <f>'STUDENT DETAILS'!A405</f>
        <v>0</v>
      </c>
      <c r="B408" s="66">
        <f>'STUDENT DETAILS'!B405</f>
        <v>0</v>
      </c>
      <c r="C408" s="66">
        <f>'STUDENT DETAILS'!C405</f>
        <v>0</v>
      </c>
      <c r="D408" s="66">
        <f>'STUDENT DETAILS'!D405</f>
        <v>0</v>
      </c>
      <c r="E408" s="94">
        <f>'STUDENT DETAILS'!E405</f>
        <v>0</v>
      </c>
      <c r="F408" s="66" t="b">
        <f t="shared" si="24"/>
        <v>0</v>
      </c>
      <c r="G408" s="66"/>
      <c r="H408" s="66"/>
      <c r="I408" s="66"/>
      <c r="J408" s="66"/>
      <c r="K408" s="66">
        <f t="shared" si="25"/>
        <v>0</v>
      </c>
      <c r="L408" s="66">
        <f t="shared" si="26"/>
        <v>0</v>
      </c>
      <c r="M408" s="66" t="str">
        <f t="shared" si="27"/>
        <v>UNPAID</v>
      </c>
    </row>
    <row r="409" spans="1:13" x14ac:dyDescent="0.3">
      <c r="A409" s="66">
        <f>'STUDENT DETAILS'!A406</f>
        <v>0</v>
      </c>
      <c r="B409" s="66">
        <f>'STUDENT DETAILS'!B406</f>
        <v>0</v>
      </c>
      <c r="C409" s="66">
        <f>'STUDENT DETAILS'!C406</f>
        <v>0</v>
      </c>
      <c r="D409" s="66">
        <f>'STUDENT DETAILS'!D406</f>
        <v>0</v>
      </c>
      <c r="E409" s="94">
        <f>'STUDENT DETAILS'!E406</f>
        <v>0</v>
      </c>
      <c r="F409" s="66" t="b">
        <f t="shared" si="24"/>
        <v>0</v>
      </c>
      <c r="G409" s="66"/>
      <c r="H409" s="66"/>
      <c r="I409" s="66"/>
      <c r="J409" s="66"/>
      <c r="K409" s="66">
        <f t="shared" si="25"/>
        <v>0</v>
      </c>
      <c r="L409" s="66">
        <f t="shared" si="26"/>
        <v>0</v>
      </c>
      <c r="M409" s="66" t="str">
        <f t="shared" si="27"/>
        <v>UNPAID</v>
      </c>
    </row>
    <row r="410" spans="1:13" x14ac:dyDescent="0.3">
      <c r="A410" s="66">
        <f>'STUDENT DETAILS'!A407</f>
        <v>0</v>
      </c>
      <c r="B410" s="66">
        <f>'STUDENT DETAILS'!B407</f>
        <v>0</v>
      </c>
      <c r="C410" s="66">
        <f>'STUDENT DETAILS'!C407</f>
        <v>0</v>
      </c>
      <c r="D410" s="66">
        <f>'STUDENT DETAILS'!D407</f>
        <v>0</v>
      </c>
      <c r="E410" s="94">
        <f>'STUDENT DETAILS'!E407</f>
        <v>0</v>
      </c>
      <c r="F410" s="66" t="b">
        <f t="shared" si="24"/>
        <v>0</v>
      </c>
      <c r="G410" s="66"/>
      <c r="H410" s="66"/>
      <c r="I410" s="66"/>
      <c r="J410" s="66"/>
      <c r="K410" s="66">
        <f t="shared" si="25"/>
        <v>0</v>
      </c>
      <c r="L410" s="66">
        <f t="shared" si="26"/>
        <v>0</v>
      </c>
      <c r="M410" s="66" t="str">
        <f t="shared" si="27"/>
        <v>UNPAID</v>
      </c>
    </row>
    <row r="411" spans="1:13" x14ac:dyDescent="0.3">
      <c r="A411" s="66">
        <f>'STUDENT DETAILS'!A408</f>
        <v>0</v>
      </c>
      <c r="B411" s="66">
        <f>'STUDENT DETAILS'!B408</f>
        <v>0</v>
      </c>
      <c r="C411" s="66">
        <f>'STUDENT DETAILS'!C408</f>
        <v>0</v>
      </c>
      <c r="D411" s="66">
        <f>'STUDENT DETAILS'!D408</f>
        <v>0</v>
      </c>
      <c r="E411" s="94">
        <f>'STUDENT DETAILS'!E408</f>
        <v>0</v>
      </c>
      <c r="F411" s="66" t="b">
        <f t="shared" si="24"/>
        <v>0</v>
      </c>
      <c r="G411" s="66"/>
      <c r="H411" s="66"/>
      <c r="I411" s="66"/>
      <c r="J411" s="66"/>
      <c r="K411" s="66">
        <f t="shared" si="25"/>
        <v>0</v>
      </c>
      <c r="L411" s="66">
        <f t="shared" si="26"/>
        <v>0</v>
      </c>
      <c r="M411" s="66" t="str">
        <f t="shared" si="27"/>
        <v>UNPAID</v>
      </c>
    </row>
    <row r="412" spans="1:13" x14ac:dyDescent="0.3">
      <c r="A412" s="66">
        <f>'STUDENT DETAILS'!A409</f>
        <v>0</v>
      </c>
      <c r="B412" s="66">
        <f>'STUDENT DETAILS'!B409</f>
        <v>0</v>
      </c>
      <c r="C412" s="66">
        <f>'STUDENT DETAILS'!C409</f>
        <v>0</v>
      </c>
      <c r="D412" s="66">
        <f>'STUDENT DETAILS'!D409</f>
        <v>0</v>
      </c>
      <c r="E412" s="94">
        <f>'STUDENT DETAILS'!E409</f>
        <v>0</v>
      </c>
      <c r="F412" s="66" t="b">
        <f t="shared" si="24"/>
        <v>0</v>
      </c>
      <c r="G412" s="66"/>
      <c r="H412" s="66"/>
      <c r="I412" s="66"/>
      <c r="J412" s="66"/>
      <c r="K412" s="66">
        <f t="shared" si="25"/>
        <v>0</v>
      </c>
      <c r="L412" s="66">
        <f t="shared" si="26"/>
        <v>0</v>
      </c>
      <c r="M412" s="66" t="str">
        <f t="shared" si="27"/>
        <v>UNPAID</v>
      </c>
    </row>
    <row r="413" spans="1:13" x14ac:dyDescent="0.3">
      <c r="A413" s="66">
        <f>'STUDENT DETAILS'!A410</f>
        <v>0</v>
      </c>
      <c r="B413" s="66">
        <f>'STUDENT DETAILS'!B410</f>
        <v>0</v>
      </c>
      <c r="C413" s="66">
        <f>'STUDENT DETAILS'!C410</f>
        <v>0</v>
      </c>
      <c r="D413" s="66">
        <f>'STUDENT DETAILS'!D410</f>
        <v>0</v>
      </c>
      <c r="E413" s="94">
        <f>'STUDENT DETAILS'!E410</f>
        <v>0</v>
      </c>
      <c r="F413" s="66" t="b">
        <f t="shared" si="24"/>
        <v>0</v>
      </c>
      <c r="G413" s="66"/>
      <c r="H413" s="66"/>
      <c r="I413" s="66"/>
      <c r="J413" s="66"/>
      <c r="K413" s="66">
        <f t="shared" si="25"/>
        <v>0</v>
      </c>
      <c r="L413" s="66">
        <f t="shared" si="26"/>
        <v>0</v>
      </c>
      <c r="M413" s="66" t="str">
        <f t="shared" si="27"/>
        <v>UNPAID</v>
      </c>
    </row>
    <row r="414" spans="1:13" x14ac:dyDescent="0.3">
      <c r="A414" s="66">
        <f>'STUDENT DETAILS'!A411</f>
        <v>0</v>
      </c>
      <c r="B414" s="66">
        <f>'STUDENT DETAILS'!B411</f>
        <v>0</v>
      </c>
      <c r="C414" s="66">
        <f>'STUDENT DETAILS'!C411</f>
        <v>0</v>
      </c>
      <c r="D414" s="66">
        <f>'STUDENT DETAILS'!D411</f>
        <v>0</v>
      </c>
      <c r="E414" s="94">
        <f>'STUDENT DETAILS'!E411</f>
        <v>0</v>
      </c>
      <c r="F414" s="66" t="b">
        <f t="shared" si="24"/>
        <v>0</v>
      </c>
      <c r="G414" s="66"/>
      <c r="H414" s="66"/>
      <c r="I414" s="66"/>
      <c r="J414" s="66"/>
      <c r="K414" s="66">
        <f t="shared" si="25"/>
        <v>0</v>
      </c>
      <c r="L414" s="66">
        <f t="shared" si="26"/>
        <v>0</v>
      </c>
      <c r="M414" s="66" t="str">
        <f t="shared" si="27"/>
        <v>UNPAID</v>
      </c>
    </row>
    <row r="415" spans="1:13" x14ac:dyDescent="0.3">
      <c r="A415" s="66">
        <f>'STUDENT DETAILS'!A412</f>
        <v>0</v>
      </c>
      <c r="B415" s="66">
        <f>'STUDENT DETAILS'!B412</f>
        <v>0</v>
      </c>
      <c r="C415" s="66">
        <f>'STUDENT DETAILS'!C412</f>
        <v>0</v>
      </c>
      <c r="D415" s="66">
        <f>'STUDENT DETAILS'!D412</f>
        <v>0</v>
      </c>
      <c r="E415" s="94">
        <f>'STUDENT DETAILS'!E412</f>
        <v>0</v>
      </c>
      <c r="F415" s="66" t="b">
        <f t="shared" si="24"/>
        <v>0</v>
      </c>
      <c r="G415" s="66"/>
      <c r="H415" s="66"/>
      <c r="I415" s="66"/>
      <c r="J415" s="66"/>
      <c r="K415" s="66">
        <f t="shared" si="25"/>
        <v>0</v>
      </c>
      <c r="L415" s="66">
        <f t="shared" si="26"/>
        <v>0</v>
      </c>
      <c r="M415" s="66" t="str">
        <f t="shared" si="27"/>
        <v>UNPAID</v>
      </c>
    </row>
    <row r="416" spans="1:13" x14ac:dyDescent="0.3">
      <c r="A416" s="66">
        <f>'STUDENT DETAILS'!A413</f>
        <v>0</v>
      </c>
      <c r="B416" s="66">
        <f>'STUDENT DETAILS'!B413</f>
        <v>0</v>
      </c>
      <c r="C416" s="66">
        <f>'STUDENT DETAILS'!C413</f>
        <v>0</v>
      </c>
      <c r="D416" s="66">
        <f>'STUDENT DETAILS'!D413</f>
        <v>0</v>
      </c>
      <c r="E416" s="94">
        <f>'STUDENT DETAILS'!E413</f>
        <v>0</v>
      </c>
      <c r="F416" s="66" t="b">
        <f t="shared" si="24"/>
        <v>0</v>
      </c>
      <c r="G416" s="66"/>
      <c r="H416" s="66"/>
      <c r="I416" s="66"/>
      <c r="J416" s="66"/>
      <c r="K416" s="66">
        <f t="shared" si="25"/>
        <v>0</v>
      </c>
      <c r="L416" s="66">
        <f t="shared" si="26"/>
        <v>0</v>
      </c>
      <c r="M416" s="66" t="str">
        <f t="shared" si="27"/>
        <v>UNPAID</v>
      </c>
    </row>
    <row r="417" spans="1:13" x14ac:dyDescent="0.3">
      <c r="A417" s="66">
        <f>'STUDENT DETAILS'!A414</f>
        <v>0</v>
      </c>
      <c r="B417" s="66">
        <f>'STUDENT DETAILS'!B414</f>
        <v>0</v>
      </c>
      <c r="C417" s="66">
        <f>'STUDENT DETAILS'!C414</f>
        <v>0</v>
      </c>
      <c r="D417" s="66">
        <f>'STUDENT DETAILS'!D414</f>
        <v>0</v>
      </c>
      <c r="E417" s="94">
        <f>'STUDENT DETAILS'!E414</f>
        <v>0</v>
      </c>
      <c r="F417" s="66" t="b">
        <f t="shared" si="24"/>
        <v>0</v>
      </c>
      <c r="G417" s="66"/>
      <c r="H417" s="66"/>
      <c r="I417" s="66"/>
      <c r="J417" s="66"/>
      <c r="K417" s="66">
        <f t="shared" si="25"/>
        <v>0</v>
      </c>
      <c r="L417" s="66">
        <f t="shared" si="26"/>
        <v>0</v>
      </c>
      <c r="M417" s="66" t="str">
        <f t="shared" si="27"/>
        <v>UNPAID</v>
      </c>
    </row>
    <row r="418" spans="1:13" x14ac:dyDescent="0.3">
      <c r="A418" s="66">
        <f>'STUDENT DETAILS'!A415</f>
        <v>0</v>
      </c>
      <c r="B418" s="66">
        <f>'STUDENT DETAILS'!B415</f>
        <v>0</v>
      </c>
      <c r="C418" s="66">
        <f>'STUDENT DETAILS'!C415</f>
        <v>0</v>
      </c>
      <c r="D418" s="66">
        <f>'STUDENT DETAILS'!D415</f>
        <v>0</v>
      </c>
      <c r="E418" s="94">
        <f>'STUDENT DETAILS'!E415</f>
        <v>0</v>
      </c>
      <c r="F418" s="66" t="b">
        <f t="shared" si="24"/>
        <v>0</v>
      </c>
      <c r="G418" s="66"/>
      <c r="H418" s="66"/>
      <c r="I418" s="66"/>
      <c r="J418" s="66"/>
      <c r="K418" s="66">
        <f t="shared" si="25"/>
        <v>0</v>
      </c>
      <c r="L418" s="66">
        <f t="shared" si="26"/>
        <v>0</v>
      </c>
      <c r="M418" s="66" t="str">
        <f t="shared" si="27"/>
        <v>UNPAID</v>
      </c>
    </row>
    <row r="419" spans="1:13" x14ac:dyDescent="0.3">
      <c r="A419" s="66">
        <f>'STUDENT DETAILS'!A416</f>
        <v>0</v>
      </c>
      <c r="B419" s="66">
        <f>'STUDENT DETAILS'!B416</f>
        <v>0</v>
      </c>
      <c r="C419" s="66">
        <f>'STUDENT DETAILS'!C416</f>
        <v>0</v>
      </c>
      <c r="D419" s="66">
        <f>'STUDENT DETAILS'!D416</f>
        <v>0</v>
      </c>
      <c r="E419" s="94">
        <f>'STUDENT DETAILS'!E416</f>
        <v>0</v>
      </c>
      <c r="F419" s="66" t="b">
        <f t="shared" si="24"/>
        <v>0</v>
      </c>
      <c r="G419" s="66"/>
      <c r="H419" s="66"/>
      <c r="I419" s="66"/>
      <c r="J419" s="66"/>
      <c r="K419" s="66">
        <f t="shared" si="25"/>
        <v>0</v>
      </c>
      <c r="L419" s="66">
        <f t="shared" si="26"/>
        <v>0</v>
      </c>
      <c r="M419" s="66" t="str">
        <f t="shared" si="27"/>
        <v>UNPAID</v>
      </c>
    </row>
    <row r="420" spans="1:13" x14ac:dyDescent="0.3">
      <c r="A420" s="66">
        <f>'STUDENT DETAILS'!A417</f>
        <v>0</v>
      </c>
      <c r="B420" s="66">
        <f>'STUDENT DETAILS'!B417</f>
        <v>0</v>
      </c>
      <c r="C420" s="66">
        <f>'STUDENT DETAILS'!C417</f>
        <v>0</v>
      </c>
      <c r="D420" s="66">
        <f>'STUDENT DETAILS'!D417</f>
        <v>0</v>
      </c>
      <c r="E420" s="94">
        <f>'STUDENT DETAILS'!E417</f>
        <v>0</v>
      </c>
      <c r="F420" s="66" t="b">
        <f t="shared" si="24"/>
        <v>0</v>
      </c>
      <c r="G420" s="66"/>
      <c r="H420" s="66"/>
      <c r="I420" s="66"/>
      <c r="J420" s="66"/>
      <c r="K420" s="66">
        <f t="shared" si="25"/>
        <v>0</v>
      </c>
      <c r="L420" s="66">
        <f t="shared" si="26"/>
        <v>0</v>
      </c>
      <c r="M420" s="66" t="str">
        <f t="shared" si="27"/>
        <v>UNPAID</v>
      </c>
    </row>
    <row r="421" spans="1:13" x14ac:dyDescent="0.3">
      <c r="A421" s="66">
        <f>'STUDENT DETAILS'!A418</f>
        <v>0</v>
      </c>
      <c r="B421" s="66">
        <f>'STUDENT DETAILS'!B418</f>
        <v>0</v>
      </c>
      <c r="C421" s="66">
        <f>'STUDENT DETAILS'!C418</f>
        <v>0</v>
      </c>
      <c r="D421" s="66">
        <f>'STUDENT DETAILS'!D418</f>
        <v>0</v>
      </c>
      <c r="E421" s="94">
        <f>'STUDENT DETAILS'!E418</f>
        <v>0</v>
      </c>
      <c r="F421" s="66" t="b">
        <f t="shared" si="24"/>
        <v>0</v>
      </c>
      <c r="G421" s="66"/>
      <c r="H421" s="66"/>
      <c r="I421" s="66"/>
      <c r="J421" s="66"/>
      <c r="K421" s="66">
        <f t="shared" si="25"/>
        <v>0</v>
      </c>
      <c r="L421" s="66">
        <f t="shared" si="26"/>
        <v>0</v>
      </c>
      <c r="M421" s="66" t="str">
        <f t="shared" si="27"/>
        <v>UNPAID</v>
      </c>
    </row>
    <row r="422" spans="1:13" x14ac:dyDescent="0.3">
      <c r="A422" s="66">
        <f>'STUDENT DETAILS'!A419</f>
        <v>0</v>
      </c>
      <c r="B422" s="66">
        <f>'STUDENT DETAILS'!B419</f>
        <v>0</v>
      </c>
      <c r="C422" s="66">
        <f>'STUDENT DETAILS'!C419</f>
        <v>0</v>
      </c>
      <c r="D422" s="66">
        <f>'STUDENT DETAILS'!D419</f>
        <v>0</v>
      </c>
      <c r="E422" s="94">
        <f>'STUDENT DETAILS'!E419</f>
        <v>0</v>
      </c>
      <c r="F422" s="66" t="b">
        <f t="shared" si="24"/>
        <v>0</v>
      </c>
      <c r="G422" s="66"/>
      <c r="H422" s="66"/>
      <c r="I422" s="66"/>
      <c r="J422" s="66"/>
      <c r="K422" s="66">
        <f t="shared" si="25"/>
        <v>0</v>
      </c>
      <c r="L422" s="66">
        <f t="shared" si="26"/>
        <v>0</v>
      </c>
      <c r="M422" s="66" t="str">
        <f t="shared" si="27"/>
        <v>UNPAID</v>
      </c>
    </row>
    <row r="423" spans="1:13" x14ac:dyDescent="0.3">
      <c r="A423" s="66">
        <f>'STUDENT DETAILS'!A420</f>
        <v>0</v>
      </c>
      <c r="B423" s="66">
        <f>'STUDENT DETAILS'!B420</f>
        <v>0</v>
      </c>
      <c r="C423" s="66">
        <f>'STUDENT DETAILS'!C420</f>
        <v>0</v>
      </c>
      <c r="D423" s="66">
        <f>'STUDENT DETAILS'!D420</f>
        <v>0</v>
      </c>
      <c r="E423" s="94">
        <f>'STUDENT DETAILS'!E420</f>
        <v>0</v>
      </c>
      <c r="F423" s="66" t="b">
        <f t="shared" si="24"/>
        <v>0</v>
      </c>
      <c r="G423" s="66"/>
      <c r="H423" s="66"/>
      <c r="I423" s="66"/>
      <c r="J423" s="66"/>
      <c r="K423" s="66">
        <f t="shared" si="25"/>
        <v>0</v>
      </c>
      <c r="L423" s="66">
        <f t="shared" si="26"/>
        <v>0</v>
      </c>
      <c r="M423" s="66" t="str">
        <f t="shared" si="27"/>
        <v>UNPAID</v>
      </c>
    </row>
    <row r="424" spans="1:13" x14ac:dyDescent="0.3">
      <c r="A424" s="66">
        <f>'STUDENT DETAILS'!A421</f>
        <v>0</v>
      </c>
      <c r="B424" s="66">
        <f>'STUDENT DETAILS'!B421</f>
        <v>0</v>
      </c>
      <c r="C424" s="66">
        <f>'STUDENT DETAILS'!C421</f>
        <v>0</v>
      </c>
      <c r="D424" s="66">
        <f>'STUDENT DETAILS'!D421</f>
        <v>0</v>
      </c>
      <c r="E424" s="94">
        <f>'STUDENT DETAILS'!E421</f>
        <v>0</v>
      </c>
      <c r="F424" s="66" t="b">
        <f t="shared" si="24"/>
        <v>0</v>
      </c>
      <c r="G424" s="66"/>
      <c r="H424" s="66"/>
      <c r="I424" s="66"/>
      <c r="J424" s="66"/>
      <c r="K424" s="66">
        <f t="shared" si="25"/>
        <v>0</v>
      </c>
      <c r="L424" s="66">
        <f t="shared" si="26"/>
        <v>0</v>
      </c>
      <c r="M424" s="66" t="str">
        <f t="shared" si="27"/>
        <v>UNPAID</v>
      </c>
    </row>
    <row r="425" spans="1:13" x14ac:dyDescent="0.3">
      <c r="A425" s="66">
        <f>'STUDENT DETAILS'!A422</f>
        <v>0</v>
      </c>
      <c r="B425" s="66">
        <f>'STUDENT DETAILS'!B422</f>
        <v>0</v>
      </c>
      <c r="C425" s="66">
        <f>'STUDENT DETAILS'!C422</f>
        <v>0</v>
      </c>
      <c r="D425" s="66">
        <f>'STUDENT DETAILS'!D422</f>
        <v>0</v>
      </c>
      <c r="E425" s="94">
        <f>'STUDENT DETAILS'!E422</f>
        <v>0</v>
      </c>
      <c r="F425" s="66" t="b">
        <f t="shared" si="24"/>
        <v>0</v>
      </c>
      <c r="G425" s="66"/>
      <c r="H425" s="66"/>
      <c r="I425" s="66"/>
      <c r="J425" s="66"/>
      <c r="K425" s="66">
        <f t="shared" si="25"/>
        <v>0</v>
      </c>
      <c r="L425" s="66">
        <f t="shared" si="26"/>
        <v>0</v>
      </c>
      <c r="M425" s="66" t="str">
        <f t="shared" si="27"/>
        <v>UNPAID</v>
      </c>
    </row>
    <row r="426" spans="1:13" x14ac:dyDescent="0.3">
      <c r="A426" s="66">
        <f>'STUDENT DETAILS'!A423</f>
        <v>0</v>
      </c>
      <c r="B426" s="66">
        <f>'STUDENT DETAILS'!B423</f>
        <v>0</v>
      </c>
      <c r="C426" s="66">
        <f>'STUDENT DETAILS'!C423</f>
        <v>0</v>
      </c>
      <c r="D426" s="66">
        <f>'STUDENT DETAILS'!D423</f>
        <v>0</v>
      </c>
      <c r="E426" s="94">
        <f>'STUDENT DETAILS'!E423</f>
        <v>0</v>
      </c>
      <c r="F426" s="66" t="b">
        <f t="shared" si="24"/>
        <v>0</v>
      </c>
      <c r="G426" s="66"/>
      <c r="H426" s="66"/>
      <c r="I426" s="66"/>
      <c r="J426" s="66"/>
      <c r="K426" s="66">
        <f t="shared" si="25"/>
        <v>0</v>
      </c>
      <c r="L426" s="66">
        <f t="shared" si="26"/>
        <v>0</v>
      </c>
      <c r="M426" s="66" t="str">
        <f t="shared" si="27"/>
        <v>UNPAID</v>
      </c>
    </row>
    <row r="427" spans="1:13" x14ac:dyDescent="0.3">
      <c r="A427" s="66">
        <f>'STUDENT DETAILS'!A424</f>
        <v>0</v>
      </c>
      <c r="B427" s="66">
        <f>'STUDENT DETAILS'!B424</f>
        <v>0</v>
      </c>
      <c r="C427" s="66">
        <f>'STUDENT DETAILS'!C424</f>
        <v>0</v>
      </c>
      <c r="D427" s="66">
        <f>'STUDENT DETAILS'!D424</f>
        <v>0</v>
      </c>
      <c r="E427" s="94">
        <f>'STUDENT DETAILS'!E424</f>
        <v>0</v>
      </c>
      <c r="F427" s="66" t="b">
        <f t="shared" si="24"/>
        <v>0</v>
      </c>
      <c r="G427" s="66"/>
      <c r="H427" s="66"/>
      <c r="I427" s="66"/>
      <c r="J427" s="66"/>
      <c r="K427" s="66">
        <f t="shared" si="25"/>
        <v>0</v>
      </c>
      <c r="L427" s="66">
        <f t="shared" si="26"/>
        <v>0</v>
      </c>
      <c r="M427" s="66" t="str">
        <f t="shared" si="27"/>
        <v>UNPAID</v>
      </c>
    </row>
    <row r="428" spans="1:13" x14ac:dyDescent="0.3">
      <c r="A428" s="66">
        <f>'STUDENT DETAILS'!A425</f>
        <v>0</v>
      </c>
      <c r="B428" s="66">
        <f>'STUDENT DETAILS'!B425</f>
        <v>0</v>
      </c>
      <c r="C428" s="66">
        <f>'STUDENT DETAILS'!C425</f>
        <v>0</v>
      </c>
      <c r="D428" s="66">
        <f>'STUDENT DETAILS'!D425</f>
        <v>0</v>
      </c>
      <c r="E428" s="94">
        <f>'STUDENT DETAILS'!E425</f>
        <v>0</v>
      </c>
      <c r="F428" s="66" t="b">
        <f t="shared" si="24"/>
        <v>0</v>
      </c>
      <c r="G428" s="66"/>
      <c r="H428" s="66"/>
      <c r="I428" s="66"/>
      <c r="J428" s="66"/>
      <c r="K428" s="66">
        <f t="shared" si="25"/>
        <v>0</v>
      </c>
      <c r="L428" s="66">
        <f t="shared" si="26"/>
        <v>0</v>
      </c>
      <c r="M428" s="66" t="str">
        <f t="shared" si="27"/>
        <v>UNPAID</v>
      </c>
    </row>
    <row r="429" spans="1:13" x14ac:dyDescent="0.3">
      <c r="A429" s="66">
        <f>'STUDENT DETAILS'!A426</f>
        <v>0</v>
      </c>
      <c r="B429" s="66">
        <f>'STUDENT DETAILS'!B426</f>
        <v>0</v>
      </c>
      <c r="C429" s="66">
        <f>'STUDENT DETAILS'!C426</f>
        <v>0</v>
      </c>
      <c r="D429" s="66">
        <f>'STUDENT DETAILS'!D426</f>
        <v>0</v>
      </c>
      <c r="E429" s="94">
        <f>'STUDENT DETAILS'!E426</f>
        <v>0</v>
      </c>
      <c r="F429" s="66" t="b">
        <f t="shared" si="24"/>
        <v>0</v>
      </c>
      <c r="G429" s="66"/>
      <c r="H429" s="66"/>
      <c r="I429" s="66"/>
      <c r="J429" s="66"/>
      <c r="K429" s="66">
        <f t="shared" si="25"/>
        <v>0</v>
      </c>
      <c r="L429" s="66">
        <f t="shared" si="26"/>
        <v>0</v>
      </c>
      <c r="M429" s="66" t="str">
        <f t="shared" si="27"/>
        <v>UNPAID</v>
      </c>
    </row>
    <row r="430" spans="1:13" x14ac:dyDescent="0.3">
      <c r="A430" s="66">
        <f>'STUDENT DETAILS'!A427</f>
        <v>0</v>
      </c>
      <c r="B430" s="66">
        <f>'STUDENT DETAILS'!B427</f>
        <v>0</v>
      </c>
      <c r="C430" s="66">
        <f>'STUDENT DETAILS'!C427</f>
        <v>0</v>
      </c>
      <c r="D430" s="66">
        <f>'STUDENT DETAILS'!D427</f>
        <v>0</v>
      </c>
      <c r="E430" s="94">
        <f>'STUDENT DETAILS'!E427</f>
        <v>0</v>
      </c>
      <c r="F430" s="66" t="b">
        <f t="shared" si="24"/>
        <v>0</v>
      </c>
      <c r="G430" s="66"/>
      <c r="H430" s="66"/>
      <c r="I430" s="66"/>
      <c r="J430" s="66"/>
      <c r="K430" s="66">
        <f t="shared" si="25"/>
        <v>0</v>
      </c>
      <c r="L430" s="66">
        <f t="shared" si="26"/>
        <v>0</v>
      </c>
      <c r="M430" s="66" t="str">
        <f t="shared" si="27"/>
        <v>UNPAID</v>
      </c>
    </row>
    <row r="431" spans="1:13" x14ac:dyDescent="0.3">
      <c r="A431" s="66">
        <f>'STUDENT DETAILS'!A428</f>
        <v>0</v>
      </c>
      <c r="B431" s="66">
        <f>'STUDENT DETAILS'!B428</f>
        <v>0</v>
      </c>
      <c r="C431" s="66">
        <f>'STUDENT DETAILS'!C428</f>
        <v>0</v>
      </c>
      <c r="D431" s="66">
        <f>'STUDENT DETAILS'!D428</f>
        <v>0</v>
      </c>
      <c r="E431" s="94">
        <f>'STUDENT DETAILS'!E428</f>
        <v>0</v>
      </c>
      <c r="F431" s="66" t="b">
        <f t="shared" si="24"/>
        <v>0</v>
      </c>
      <c r="G431" s="66"/>
      <c r="H431" s="66"/>
      <c r="I431" s="66"/>
      <c r="J431" s="66"/>
      <c r="K431" s="66">
        <f t="shared" si="25"/>
        <v>0</v>
      </c>
      <c r="L431" s="66">
        <f t="shared" si="26"/>
        <v>0</v>
      </c>
      <c r="M431" s="66" t="str">
        <f t="shared" si="27"/>
        <v>UNPAID</v>
      </c>
    </row>
    <row r="432" spans="1:13" x14ac:dyDescent="0.3">
      <c r="A432" s="66">
        <f>'STUDENT DETAILS'!A429</f>
        <v>0</v>
      </c>
      <c r="B432" s="66">
        <f>'STUDENT DETAILS'!B429</f>
        <v>0</v>
      </c>
      <c r="C432" s="66">
        <f>'STUDENT DETAILS'!C429</f>
        <v>0</v>
      </c>
      <c r="D432" s="66">
        <f>'STUDENT DETAILS'!D429</f>
        <v>0</v>
      </c>
      <c r="E432" s="94">
        <f>'STUDENT DETAILS'!E429</f>
        <v>0</v>
      </c>
      <c r="F432" s="66" t="b">
        <f t="shared" si="24"/>
        <v>0</v>
      </c>
      <c r="G432" s="66"/>
      <c r="H432" s="66"/>
      <c r="I432" s="66"/>
      <c r="J432" s="66"/>
      <c r="K432" s="66">
        <f t="shared" si="25"/>
        <v>0</v>
      </c>
      <c r="L432" s="66">
        <f t="shared" si="26"/>
        <v>0</v>
      </c>
      <c r="M432" s="66" t="str">
        <f t="shared" si="27"/>
        <v>UNPAID</v>
      </c>
    </row>
    <row r="433" spans="1:13" x14ac:dyDescent="0.3">
      <c r="A433" s="66">
        <f>'STUDENT DETAILS'!A430</f>
        <v>0</v>
      </c>
      <c r="B433" s="66">
        <f>'STUDENT DETAILS'!B430</f>
        <v>0</v>
      </c>
      <c r="C433" s="66">
        <f>'STUDENT DETAILS'!C430</f>
        <v>0</v>
      </c>
      <c r="D433" s="66">
        <f>'STUDENT DETAILS'!D430</f>
        <v>0</v>
      </c>
      <c r="E433" s="94">
        <f>'STUDENT DETAILS'!E430</f>
        <v>0</v>
      </c>
      <c r="F433" s="66" t="b">
        <f t="shared" si="24"/>
        <v>0</v>
      </c>
      <c r="G433" s="66"/>
      <c r="H433" s="66"/>
      <c r="I433" s="66"/>
      <c r="J433" s="66"/>
      <c r="K433" s="66">
        <f t="shared" si="25"/>
        <v>0</v>
      </c>
      <c r="L433" s="66">
        <f t="shared" si="26"/>
        <v>0</v>
      </c>
      <c r="M433" s="66" t="str">
        <f t="shared" si="27"/>
        <v>UNPAID</v>
      </c>
    </row>
    <row r="434" spans="1:13" x14ac:dyDescent="0.3">
      <c r="A434" s="66">
        <f>'STUDENT DETAILS'!A431</f>
        <v>0</v>
      </c>
      <c r="B434" s="66">
        <f>'STUDENT DETAILS'!B431</f>
        <v>0</v>
      </c>
      <c r="C434" s="66">
        <f>'STUDENT DETAILS'!C431</f>
        <v>0</v>
      </c>
      <c r="D434" s="66">
        <f>'STUDENT DETAILS'!D431</f>
        <v>0</v>
      </c>
      <c r="E434" s="94">
        <f>'STUDENT DETAILS'!E431</f>
        <v>0</v>
      </c>
      <c r="F434" s="66" t="b">
        <f t="shared" si="24"/>
        <v>0</v>
      </c>
      <c r="G434" s="66"/>
      <c r="H434" s="66"/>
      <c r="I434" s="66"/>
      <c r="J434" s="66"/>
      <c r="K434" s="66">
        <f t="shared" si="25"/>
        <v>0</v>
      </c>
      <c r="L434" s="66">
        <f t="shared" si="26"/>
        <v>0</v>
      </c>
      <c r="M434" s="66" t="str">
        <f t="shared" si="27"/>
        <v>UNPAID</v>
      </c>
    </row>
    <row r="435" spans="1:13" x14ac:dyDescent="0.3">
      <c r="A435" s="66">
        <f>'STUDENT DETAILS'!A432</f>
        <v>0</v>
      </c>
      <c r="B435" s="66">
        <f>'STUDENT DETAILS'!B432</f>
        <v>0</v>
      </c>
      <c r="C435" s="66">
        <f>'STUDENT DETAILS'!C432</f>
        <v>0</v>
      </c>
      <c r="D435" s="66">
        <f>'STUDENT DETAILS'!D432</f>
        <v>0</v>
      </c>
      <c r="E435" s="94">
        <f>'STUDENT DETAILS'!E432</f>
        <v>0</v>
      </c>
      <c r="F435" s="66" t="b">
        <f t="shared" si="24"/>
        <v>0</v>
      </c>
      <c r="G435" s="66"/>
      <c r="H435" s="66"/>
      <c r="I435" s="66"/>
      <c r="J435" s="66"/>
      <c r="K435" s="66">
        <f t="shared" si="25"/>
        <v>0</v>
      </c>
      <c r="L435" s="66">
        <f t="shared" si="26"/>
        <v>0</v>
      </c>
      <c r="M435" s="66" t="str">
        <f t="shared" si="27"/>
        <v>UNPAID</v>
      </c>
    </row>
    <row r="436" spans="1:13" x14ac:dyDescent="0.3">
      <c r="A436" s="66">
        <f>'STUDENT DETAILS'!A433</f>
        <v>0</v>
      </c>
      <c r="B436" s="66">
        <f>'STUDENT DETAILS'!B433</f>
        <v>0</v>
      </c>
      <c r="C436" s="66">
        <f>'STUDENT DETAILS'!C433</f>
        <v>0</v>
      </c>
      <c r="D436" s="66">
        <f>'STUDENT DETAILS'!D433</f>
        <v>0</v>
      </c>
      <c r="E436" s="94">
        <f>'STUDENT DETAILS'!E433</f>
        <v>0</v>
      </c>
      <c r="F436" s="66" t="b">
        <f t="shared" si="24"/>
        <v>0</v>
      </c>
      <c r="G436" s="66"/>
      <c r="H436" s="66"/>
      <c r="I436" s="66"/>
      <c r="J436" s="66"/>
      <c r="K436" s="66">
        <f t="shared" si="25"/>
        <v>0</v>
      </c>
      <c r="L436" s="66">
        <f t="shared" si="26"/>
        <v>0</v>
      </c>
      <c r="M436" s="66" t="str">
        <f t="shared" si="27"/>
        <v>UNPAID</v>
      </c>
    </row>
    <row r="437" spans="1:13" x14ac:dyDescent="0.3">
      <c r="A437" s="66">
        <f>'STUDENT DETAILS'!A434</f>
        <v>0</v>
      </c>
      <c r="B437" s="66">
        <f>'STUDENT DETAILS'!B434</f>
        <v>0</v>
      </c>
      <c r="C437" s="66">
        <f>'STUDENT DETAILS'!C434</f>
        <v>0</v>
      </c>
      <c r="D437" s="66">
        <f>'STUDENT DETAILS'!D434</f>
        <v>0</v>
      </c>
      <c r="E437" s="94">
        <f>'STUDENT DETAILS'!E434</f>
        <v>0</v>
      </c>
      <c r="F437" s="66" t="b">
        <f t="shared" si="24"/>
        <v>0</v>
      </c>
      <c r="G437" s="66"/>
      <c r="H437" s="66"/>
      <c r="I437" s="66"/>
      <c r="J437" s="66"/>
      <c r="K437" s="66">
        <f t="shared" si="25"/>
        <v>0</v>
      </c>
      <c r="L437" s="66">
        <f t="shared" si="26"/>
        <v>0</v>
      </c>
      <c r="M437" s="66" t="str">
        <f t="shared" si="27"/>
        <v>UNPAID</v>
      </c>
    </row>
    <row r="438" spans="1:13" x14ac:dyDescent="0.3">
      <c r="A438" s="66">
        <f>'STUDENT DETAILS'!A435</f>
        <v>0</v>
      </c>
      <c r="B438" s="66">
        <f>'STUDENT DETAILS'!B435</f>
        <v>0</v>
      </c>
      <c r="C438" s="66">
        <f>'STUDENT DETAILS'!C435</f>
        <v>0</v>
      </c>
      <c r="D438" s="66">
        <f>'STUDENT DETAILS'!D435</f>
        <v>0</v>
      </c>
      <c r="E438" s="94">
        <f>'STUDENT DETAILS'!E435</f>
        <v>0</v>
      </c>
      <c r="F438" s="66" t="b">
        <f t="shared" si="24"/>
        <v>0</v>
      </c>
      <c r="G438" s="66"/>
      <c r="H438" s="66"/>
      <c r="I438" s="66"/>
      <c r="J438" s="66"/>
      <c r="K438" s="66">
        <f t="shared" si="25"/>
        <v>0</v>
      </c>
      <c r="L438" s="66">
        <f t="shared" si="26"/>
        <v>0</v>
      </c>
      <c r="M438" s="66" t="str">
        <f t="shared" si="27"/>
        <v>UNPAID</v>
      </c>
    </row>
    <row r="439" spans="1:13" x14ac:dyDescent="0.3">
      <c r="A439" s="66">
        <f>'STUDENT DETAILS'!A436</f>
        <v>0</v>
      </c>
      <c r="B439" s="66">
        <f>'STUDENT DETAILS'!B436</f>
        <v>0</v>
      </c>
      <c r="C439" s="66">
        <f>'STUDENT DETAILS'!C436</f>
        <v>0</v>
      </c>
      <c r="D439" s="66">
        <f>'STUDENT DETAILS'!D436</f>
        <v>0</v>
      </c>
      <c r="E439" s="94">
        <f>'STUDENT DETAILS'!E436</f>
        <v>0</v>
      </c>
      <c r="F439" s="66" t="b">
        <f t="shared" si="24"/>
        <v>0</v>
      </c>
      <c r="G439" s="66"/>
      <c r="H439" s="66"/>
      <c r="I439" s="66"/>
      <c r="J439" s="66"/>
      <c r="K439" s="66">
        <f t="shared" si="25"/>
        <v>0</v>
      </c>
      <c r="L439" s="66">
        <f t="shared" si="26"/>
        <v>0</v>
      </c>
      <c r="M439" s="66" t="str">
        <f t="shared" si="27"/>
        <v>UNPAID</v>
      </c>
    </row>
    <row r="440" spans="1:13" x14ac:dyDescent="0.3">
      <c r="A440" s="66">
        <f>'STUDENT DETAILS'!A437</f>
        <v>0</v>
      </c>
      <c r="B440" s="66">
        <f>'STUDENT DETAILS'!B437</f>
        <v>0</v>
      </c>
      <c r="C440" s="66">
        <f>'STUDENT DETAILS'!C437</f>
        <v>0</v>
      </c>
      <c r="D440" s="66">
        <f>'STUDENT DETAILS'!D437</f>
        <v>0</v>
      </c>
      <c r="E440" s="94">
        <f>'STUDENT DETAILS'!E437</f>
        <v>0</v>
      </c>
      <c r="F440" s="66" t="b">
        <f t="shared" si="24"/>
        <v>0</v>
      </c>
      <c r="G440" s="66"/>
      <c r="H440" s="66"/>
      <c r="I440" s="66"/>
      <c r="J440" s="66"/>
      <c r="K440" s="66">
        <f t="shared" si="25"/>
        <v>0</v>
      </c>
      <c r="L440" s="66">
        <f t="shared" si="26"/>
        <v>0</v>
      </c>
      <c r="M440" s="66" t="str">
        <f t="shared" si="27"/>
        <v>UNPAID</v>
      </c>
    </row>
    <row r="441" spans="1:13" x14ac:dyDescent="0.3">
      <c r="A441" s="66">
        <f>'STUDENT DETAILS'!A438</f>
        <v>0</v>
      </c>
      <c r="B441" s="66">
        <f>'STUDENT DETAILS'!B438</f>
        <v>0</v>
      </c>
      <c r="C441" s="66">
        <f>'STUDENT DETAILS'!C438</f>
        <v>0</v>
      </c>
      <c r="D441" s="66">
        <f>'STUDENT DETAILS'!D438</f>
        <v>0</v>
      </c>
      <c r="E441" s="94">
        <f>'STUDENT DETAILS'!E438</f>
        <v>0</v>
      </c>
      <c r="F441" s="66" t="b">
        <f t="shared" si="24"/>
        <v>0</v>
      </c>
      <c r="G441" s="66"/>
      <c r="H441" s="66"/>
      <c r="I441" s="66"/>
      <c r="J441" s="66"/>
      <c r="K441" s="66">
        <f t="shared" si="25"/>
        <v>0</v>
      </c>
      <c r="L441" s="66">
        <f t="shared" si="26"/>
        <v>0</v>
      </c>
      <c r="M441" s="66" t="str">
        <f t="shared" si="27"/>
        <v>UNPAID</v>
      </c>
    </row>
    <row r="442" spans="1:13" x14ac:dyDescent="0.3">
      <c r="A442" s="66">
        <f>'STUDENT DETAILS'!A439</f>
        <v>0</v>
      </c>
      <c r="B442" s="66">
        <f>'STUDENT DETAILS'!B439</f>
        <v>0</v>
      </c>
      <c r="C442" s="66">
        <f>'STUDENT DETAILS'!C439</f>
        <v>0</v>
      </c>
      <c r="D442" s="66">
        <f>'STUDENT DETAILS'!D439</f>
        <v>0</v>
      </c>
      <c r="E442" s="94">
        <f>'STUDENT DETAILS'!E439</f>
        <v>0</v>
      </c>
      <c r="F442" s="66" t="b">
        <f t="shared" si="24"/>
        <v>0</v>
      </c>
      <c r="G442" s="66"/>
      <c r="H442" s="66"/>
      <c r="I442" s="66"/>
      <c r="J442" s="66"/>
      <c r="K442" s="66">
        <f t="shared" si="25"/>
        <v>0</v>
      </c>
      <c r="L442" s="66">
        <f t="shared" si="26"/>
        <v>0</v>
      </c>
      <c r="M442" s="66" t="str">
        <f t="shared" si="27"/>
        <v>UNPAID</v>
      </c>
    </row>
    <row r="443" spans="1:13" x14ac:dyDescent="0.3">
      <c r="A443" s="66">
        <f>'STUDENT DETAILS'!A440</f>
        <v>0</v>
      </c>
      <c r="B443" s="66">
        <f>'STUDENT DETAILS'!B440</f>
        <v>0</v>
      </c>
      <c r="C443" s="66">
        <f>'STUDENT DETAILS'!C440</f>
        <v>0</v>
      </c>
      <c r="D443" s="66">
        <f>'STUDENT DETAILS'!D440</f>
        <v>0</v>
      </c>
      <c r="E443" s="94">
        <f>'STUDENT DETAILS'!E440</f>
        <v>0</v>
      </c>
      <c r="F443" s="66" t="b">
        <f t="shared" si="24"/>
        <v>0</v>
      </c>
      <c r="G443" s="66"/>
      <c r="H443" s="66"/>
      <c r="I443" s="66"/>
      <c r="J443" s="66"/>
      <c r="K443" s="66">
        <f t="shared" si="25"/>
        <v>0</v>
      </c>
      <c r="L443" s="66">
        <f t="shared" si="26"/>
        <v>0</v>
      </c>
      <c r="M443" s="66" t="str">
        <f t="shared" si="27"/>
        <v>UNPAID</v>
      </c>
    </row>
    <row r="444" spans="1:13" x14ac:dyDescent="0.3">
      <c r="A444" s="66">
        <f>'STUDENT DETAILS'!A441</f>
        <v>0</v>
      </c>
      <c r="B444" s="66">
        <f>'STUDENT DETAILS'!B441</f>
        <v>0</v>
      </c>
      <c r="C444" s="66">
        <f>'STUDENT DETAILS'!C441</f>
        <v>0</v>
      </c>
      <c r="D444" s="66">
        <f>'STUDENT DETAILS'!D441</f>
        <v>0</v>
      </c>
      <c r="E444" s="94">
        <f>'STUDENT DETAILS'!E441</f>
        <v>0</v>
      </c>
      <c r="F444" s="66" t="b">
        <f t="shared" si="24"/>
        <v>0</v>
      </c>
      <c r="G444" s="66"/>
      <c r="H444" s="66"/>
      <c r="I444" s="66"/>
      <c r="J444" s="66"/>
      <c r="K444" s="66">
        <f t="shared" si="25"/>
        <v>0</v>
      </c>
      <c r="L444" s="66">
        <f t="shared" si="26"/>
        <v>0</v>
      </c>
      <c r="M444" s="66" t="str">
        <f t="shared" si="27"/>
        <v>UNPAID</v>
      </c>
    </row>
    <row r="445" spans="1:13" x14ac:dyDescent="0.3">
      <c r="A445" s="66">
        <f>'STUDENT DETAILS'!A442</f>
        <v>0</v>
      </c>
      <c r="B445" s="66">
        <f>'STUDENT DETAILS'!B442</f>
        <v>0</v>
      </c>
      <c r="C445" s="66">
        <f>'STUDENT DETAILS'!C442</f>
        <v>0</v>
      </c>
      <c r="D445" s="66">
        <f>'STUDENT DETAILS'!D442</f>
        <v>0</v>
      </c>
      <c r="E445" s="94">
        <f>'STUDENT DETAILS'!E442</f>
        <v>0</v>
      </c>
      <c r="F445" s="66" t="b">
        <f t="shared" si="24"/>
        <v>0</v>
      </c>
      <c r="G445" s="66"/>
      <c r="H445" s="66"/>
      <c r="I445" s="66"/>
      <c r="J445" s="66"/>
      <c r="K445" s="66">
        <f t="shared" si="25"/>
        <v>0</v>
      </c>
      <c r="L445" s="66">
        <f t="shared" si="26"/>
        <v>0</v>
      </c>
      <c r="M445" s="66" t="str">
        <f t="shared" si="27"/>
        <v>UNPAID</v>
      </c>
    </row>
    <row r="446" spans="1:13" x14ac:dyDescent="0.3">
      <c r="A446" s="66">
        <f>'STUDENT DETAILS'!A443</f>
        <v>0</v>
      </c>
      <c r="B446" s="66">
        <f>'STUDENT DETAILS'!B443</f>
        <v>0</v>
      </c>
      <c r="C446" s="66">
        <f>'STUDENT DETAILS'!C443</f>
        <v>0</v>
      </c>
      <c r="D446" s="66">
        <f>'STUDENT DETAILS'!D443</f>
        <v>0</v>
      </c>
      <c r="E446" s="94">
        <f>'STUDENT DETAILS'!E443</f>
        <v>0</v>
      </c>
      <c r="F446" s="66" t="b">
        <f t="shared" si="24"/>
        <v>0</v>
      </c>
      <c r="G446" s="66"/>
      <c r="H446" s="66"/>
      <c r="I446" s="66"/>
      <c r="J446" s="66"/>
      <c r="K446" s="66">
        <f t="shared" si="25"/>
        <v>0</v>
      </c>
      <c r="L446" s="66">
        <f t="shared" si="26"/>
        <v>0</v>
      </c>
      <c r="M446" s="66" t="str">
        <f t="shared" si="27"/>
        <v>UNPAID</v>
      </c>
    </row>
    <row r="447" spans="1:13" x14ac:dyDescent="0.3">
      <c r="A447" s="66">
        <f>'STUDENT DETAILS'!A444</f>
        <v>0</v>
      </c>
      <c r="B447" s="66">
        <f>'STUDENT DETAILS'!B444</f>
        <v>0</v>
      </c>
      <c r="C447" s="66">
        <f>'STUDENT DETAILS'!C444</f>
        <v>0</v>
      </c>
      <c r="D447" s="66">
        <f>'STUDENT DETAILS'!D444</f>
        <v>0</v>
      </c>
      <c r="E447" s="94">
        <f>'STUDENT DETAILS'!E444</f>
        <v>0</v>
      </c>
      <c r="F447" s="66" t="b">
        <f t="shared" si="24"/>
        <v>0</v>
      </c>
      <c r="G447" s="66"/>
      <c r="H447" s="66"/>
      <c r="I447" s="66"/>
      <c r="J447" s="66"/>
      <c r="K447" s="66">
        <f t="shared" si="25"/>
        <v>0</v>
      </c>
      <c r="L447" s="66">
        <f t="shared" si="26"/>
        <v>0</v>
      </c>
      <c r="M447" s="66" t="str">
        <f t="shared" si="27"/>
        <v>UNPAID</v>
      </c>
    </row>
    <row r="448" spans="1:13" x14ac:dyDescent="0.3">
      <c r="A448" s="66">
        <f>'STUDENT DETAILS'!A445</f>
        <v>0</v>
      </c>
      <c r="B448" s="66">
        <f>'STUDENT DETAILS'!B445</f>
        <v>0</v>
      </c>
      <c r="C448" s="66">
        <f>'STUDENT DETAILS'!C445</f>
        <v>0</v>
      </c>
      <c r="D448" s="66">
        <f>'STUDENT DETAILS'!D445</f>
        <v>0</v>
      </c>
      <c r="E448" s="94">
        <f>'STUDENT DETAILS'!E445</f>
        <v>0</v>
      </c>
      <c r="F448" s="66" t="b">
        <f t="shared" si="24"/>
        <v>0</v>
      </c>
      <c r="G448" s="66"/>
      <c r="H448" s="66"/>
      <c r="I448" s="66"/>
      <c r="J448" s="66"/>
      <c r="K448" s="66">
        <f t="shared" si="25"/>
        <v>0</v>
      </c>
      <c r="L448" s="66">
        <f t="shared" si="26"/>
        <v>0</v>
      </c>
      <c r="M448" s="66" t="str">
        <f t="shared" si="27"/>
        <v>UNPAID</v>
      </c>
    </row>
    <row r="449" spans="1:13" x14ac:dyDescent="0.3">
      <c r="A449" s="66">
        <f>'STUDENT DETAILS'!A446</f>
        <v>0</v>
      </c>
      <c r="B449" s="66">
        <f>'STUDENT DETAILS'!B446</f>
        <v>0</v>
      </c>
      <c r="C449" s="66">
        <f>'STUDENT DETAILS'!C446</f>
        <v>0</v>
      </c>
      <c r="D449" s="66">
        <f>'STUDENT DETAILS'!D446</f>
        <v>0</v>
      </c>
      <c r="E449" s="94">
        <f>'STUDENT DETAILS'!E446</f>
        <v>0</v>
      </c>
      <c r="F449" s="66" t="b">
        <f t="shared" si="24"/>
        <v>0</v>
      </c>
      <c r="G449" s="66"/>
      <c r="H449" s="66"/>
      <c r="I449" s="66"/>
      <c r="J449" s="66"/>
      <c r="K449" s="66">
        <f t="shared" si="25"/>
        <v>0</v>
      </c>
      <c r="L449" s="66">
        <f t="shared" si="26"/>
        <v>0</v>
      </c>
      <c r="M449" s="66" t="str">
        <f t="shared" si="27"/>
        <v>UNPAID</v>
      </c>
    </row>
    <row r="450" spans="1:13" x14ac:dyDescent="0.3">
      <c r="A450" s="66">
        <f>'STUDENT DETAILS'!A447</f>
        <v>0</v>
      </c>
      <c r="B450" s="66">
        <f>'STUDENT DETAILS'!B447</f>
        <v>0</v>
      </c>
      <c r="C450" s="66">
        <f>'STUDENT DETAILS'!C447</f>
        <v>0</v>
      </c>
      <c r="D450" s="66">
        <f>'STUDENT DETAILS'!D447</f>
        <v>0</v>
      </c>
      <c r="E450" s="94">
        <f>'STUDENT DETAILS'!E447</f>
        <v>0</v>
      </c>
      <c r="F450" s="66" t="b">
        <f t="shared" si="24"/>
        <v>0</v>
      </c>
      <c r="G450" s="66"/>
      <c r="H450" s="66"/>
      <c r="I450" s="66"/>
      <c r="J450" s="66"/>
      <c r="K450" s="66">
        <f t="shared" si="25"/>
        <v>0</v>
      </c>
      <c r="L450" s="66">
        <f t="shared" si="26"/>
        <v>0</v>
      </c>
      <c r="M450" s="66" t="str">
        <f t="shared" si="27"/>
        <v>UNPAID</v>
      </c>
    </row>
    <row r="451" spans="1:13" x14ac:dyDescent="0.3">
      <c r="A451" s="66">
        <f>'STUDENT DETAILS'!A448</f>
        <v>0</v>
      </c>
      <c r="B451" s="66">
        <f>'STUDENT DETAILS'!B448</f>
        <v>0</v>
      </c>
      <c r="C451" s="66">
        <f>'STUDENT DETAILS'!C448</f>
        <v>0</v>
      </c>
      <c r="D451" s="66">
        <f>'STUDENT DETAILS'!D448</f>
        <v>0</v>
      </c>
      <c r="E451" s="94">
        <f>'STUDENT DETAILS'!E448</f>
        <v>0</v>
      </c>
      <c r="F451" s="66" t="b">
        <f t="shared" si="24"/>
        <v>0</v>
      </c>
      <c r="G451" s="66"/>
      <c r="H451" s="66"/>
      <c r="I451" s="66"/>
      <c r="J451" s="66"/>
      <c r="K451" s="66">
        <f t="shared" si="25"/>
        <v>0</v>
      </c>
      <c r="L451" s="66">
        <f t="shared" si="26"/>
        <v>0</v>
      </c>
      <c r="M451" s="66" t="str">
        <f t="shared" si="27"/>
        <v>UNPAID</v>
      </c>
    </row>
    <row r="452" spans="1:13" x14ac:dyDescent="0.3">
      <c r="A452" s="66">
        <f>'STUDENT DETAILS'!A449</f>
        <v>0</v>
      </c>
      <c r="B452" s="66">
        <f>'STUDENT DETAILS'!B449</f>
        <v>0</v>
      </c>
      <c r="C452" s="66">
        <f>'STUDENT DETAILS'!C449</f>
        <v>0</v>
      </c>
      <c r="D452" s="66">
        <f>'STUDENT DETAILS'!D449</f>
        <v>0</v>
      </c>
      <c r="E452" s="94">
        <f>'STUDENT DETAILS'!E449</f>
        <v>0</v>
      </c>
      <c r="F452" s="66" t="b">
        <f t="shared" si="24"/>
        <v>0</v>
      </c>
      <c r="G452" s="66"/>
      <c r="H452" s="66"/>
      <c r="I452" s="66"/>
      <c r="J452" s="66"/>
      <c r="K452" s="66">
        <f t="shared" si="25"/>
        <v>0</v>
      </c>
      <c r="L452" s="66">
        <f t="shared" si="26"/>
        <v>0</v>
      </c>
      <c r="M452" s="66" t="str">
        <f t="shared" si="27"/>
        <v>UNPAID</v>
      </c>
    </row>
    <row r="453" spans="1:13" x14ac:dyDescent="0.3">
      <c r="A453" s="66">
        <f>'STUDENT DETAILS'!A450</f>
        <v>0</v>
      </c>
      <c r="B453" s="66">
        <f>'STUDENT DETAILS'!B450</f>
        <v>0</v>
      </c>
      <c r="C453" s="66">
        <f>'STUDENT DETAILS'!C450</f>
        <v>0</v>
      </c>
      <c r="D453" s="66">
        <f>'STUDENT DETAILS'!D450</f>
        <v>0</v>
      </c>
      <c r="E453" s="94">
        <f>'STUDENT DETAILS'!E450</f>
        <v>0</v>
      </c>
      <c r="F453" s="66" t="b">
        <f t="shared" si="24"/>
        <v>0</v>
      </c>
      <c r="G453" s="66"/>
      <c r="H453" s="66"/>
      <c r="I453" s="66"/>
      <c r="J453" s="66"/>
      <c r="K453" s="66">
        <f t="shared" si="25"/>
        <v>0</v>
      </c>
      <c r="L453" s="66">
        <f t="shared" si="26"/>
        <v>0</v>
      </c>
      <c r="M453" s="66" t="str">
        <f t="shared" si="27"/>
        <v>UNPAID</v>
      </c>
    </row>
    <row r="454" spans="1:13" x14ac:dyDescent="0.3">
      <c r="A454" s="66">
        <f>'STUDENT DETAILS'!A451</f>
        <v>0</v>
      </c>
      <c r="B454" s="66">
        <f>'STUDENT DETAILS'!B451</f>
        <v>0</v>
      </c>
      <c r="C454" s="66">
        <f>'STUDENT DETAILS'!C451</f>
        <v>0</v>
      </c>
      <c r="D454" s="66">
        <f>'STUDENT DETAILS'!D451</f>
        <v>0</v>
      </c>
      <c r="E454" s="94">
        <f>'STUDENT DETAILS'!E451</f>
        <v>0</v>
      </c>
      <c r="F454" s="66" t="b">
        <f t="shared" si="24"/>
        <v>0</v>
      </c>
      <c r="G454" s="66"/>
      <c r="H454" s="66"/>
      <c r="I454" s="66"/>
      <c r="J454" s="66"/>
      <c r="K454" s="66">
        <f t="shared" si="25"/>
        <v>0</v>
      </c>
      <c r="L454" s="66">
        <f t="shared" si="26"/>
        <v>0</v>
      </c>
      <c r="M454" s="66" t="str">
        <f t="shared" si="27"/>
        <v>UNPAID</v>
      </c>
    </row>
    <row r="455" spans="1:13" x14ac:dyDescent="0.3">
      <c r="A455" s="66">
        <f>'STUDENT DETAILS'!A452</f>
        <v>0</v>
      </c>
      <c r="B455" s="66">
        <f>'STUDENT DETAILS'!B452</f>
        <v>0</v>
      </c>
      <c r="C455" s="66">
        <f>'STUDENT DETAILS'!C452</f>
        <v>0</v>
      </c>
      <c r="D455" s="66">
        <f>'STUDENT DETAILS'!D452</f>
        <v>0</v>
      </c>
      <c r="E455" s="94">
        <f>'STUDENT DETAILS'!E452</f>
        <v>0</v>
      </c>
      <c r="F455" s="66" t="b">
        <f t="shared" ref="F455:F518" si="28">IF(C455="LKG",2000,IF(C455="HKG",3000,IF(C455="1st",4000,IF(C455="2nd",5000,IF(C455="3rd",6000,IF(C455="4th",7000,IF(C455="5th",8000,IF(C455="6th",9000,IF(C455="7th",10000,IF(C455="8th",10500,IF(C455="9th",10700,IF(C455="10th",11000,IF(C455="",0)))))))))))))</f>
        <v>0</v>
      </c>
      <c r="G455" s="66"/>
      <c r="H455" s="66"/>
      <c r="I455" s="66"/>
      <c r="J455" s="66"/>
      <c r="K455" s="66">
        <f t="shared" ref="K455:K518" si="29">SUM(G455:J455)</f>
        <v>0</v>
      </c>
      <c r="L455" s="66">
        <f t="shared" ref="L455:L518" si="30">F455-K455</f>
        <v>0</v>
      </c>
      <c r="M455" s="66" t="str">
        <f t="shared" ref="M455:M518" si="31">IF(K455&gt;=F455,"COMPLETED","UNPAID")</f>
        <v>UNPAID</v>
      </c>
    </row>
    <row r="456" spans="1:13" x14ac:dyDescent="0.3">
      <c r="A456" s="66">
        <f>'STUDENT DETAILS'!A453</f>
        <v>0</v>
      </c>
      <c r="B456" s="66">
        <f>'STUDENT DETAILS'!B453</f>
        <v>0</v>
      </c>
      <c r="C456" s="66">
        <f>'STUDENT DETAILS'!C453</f>
        <v>0</v>
      </c>
      <c r="D456" s="66">
        <f>'STUDENT DETAILS'!D453</f>
        <v>0</v>
      </c>
      <c r="E456" s="94">
        <f>'STUDENT DETAILS'!E453</f>
        <v>0</v>
      </c>
      <c r="F456" s="66" t="b">
        <f t="shared" si="28"/>
        <v>0</v>
      </c>
      <c r="G456" s="66"/>
      <c r="H456" s="66"/>
      <c r="I456" s="66"/>
      <c r="J456" s="66"/>
      <c r="K456" s="66">
        <f t="shared" si="29"/>
        <v>0</v>
      </c>
      <c r="L456" s="66">
        <f t="shared" si="30"/>
        <v>0</v>
      </c>
      <c r="M456" s="66" t="str">
        <f t="shared" si="31"/>
        <v>UNPAID</v>
      </c>
    </row>
    <row r="457" spans="1:13" x14ac:dyDescent="0.3">
      <c r="A457" s="66">
        <f>'STUDENT DETAILS'!A454</f>
        <v>0</v>
      </c>
      <c r="B457" s="66">
        <f>'STUDENT DETAILS'!B454</f>
        <v>0</v>
      </c>
      <c r="C457" s="66">
        <f>'STUDENT DETAILS'!C454</f>
        <v>0</v>
      </c>
      <c r="D457" s="66">
        <f>'STUDENT DETAILS'!D454</f>
        <v>0</v>
      </c>
      <c r="E457" s="94">
        <f>'STUDENT DETAILS'!E454</f>
        <v>0</v>
      </c>
      <c r="F457" s="66" t="b">
        <f t="shared" si="28"/>
        <v>0</v>
      </c>
      <c r="G457" s="66"/>
      <c r="H457" s="66"/>
      <c r="I457" s="66"/>
      <c r="J457" s="66"/>
      <c r="K457" s="66">
        <f t="shared" si="29"/>
        <v>0</v>
      </c>
      <c r="L457" s="66">
        <f t="shared" si="30"/>
        <v>0</v>
      </c>
      <c r="M457" s="66" t="str">
        <f t="shared" si="31"/>
        <v>UNPAID</v>
      </c>
    </row>
    <row r="458" spans="1:13" x14ac:dyDescent="0.3">
      <c r="A458" s="66">
        <f>'STUDENT DETAILS'!A455</f>
        <v>0</v>
      </c>
      <c r="B458" s="66">
        <f>'STUDENT DETAILS'!B455</f>
        <v>0</v>
      </c>
      <c r="C458" s="66">
        <f>'STUDENT DETAILS'!C455</f>
        <v>0</v>
      </c>
      <c r="D458" s="66">
        <f>'STUDENT DETAILS'!D455</f>
        <v>0</v>
      </c>
      <c r="E458" s="94">
        <f>'STUDENT DETAILS'!E455</f>
        <v>0</v>
      </c>
      <c r="F458" s="66" t="b">
        <f t="shared" si="28"/>
        <v>0</v>
      </c>
      <c r="G458" s="66"/>
      <c r="H458" s="66"/>
      <c r="I458" s="66"/>
      <c r="J458" s="66"/>
      <c r="K458" s="66">
        <f t="shared" si="29"/>
        <v>0</v>
      </c>
      <c r="L458" s="66">
        <f t="shared" si="30"/>
        <v>0</v>
      </c>
      <c r="M458" s="66" t="str">
        <f t="shared" si="31"/>
        <v>UNPAID</v>
      </c>
    </row>
    <row r="459" spans="1:13" x14ac:dyDescent="0.3">
      <c r="A459" s="66">
        <f>'STUDENT DETAILS'!A456</f>
        <v>0</v>
      </c>
      <c r="B459" s="66">
        <f>'STUDENT DETAILS'!B456</f>
        <v>0</v>
      </c>
      <c r="C459" s="66">
        <f>'STUDENT DETAILS'!C456</f>
        <v>0</v>
      </c>
      <c r="D459" s="66">
        <f>'STUDENT DETAILS'!D456</f>
        <v>0</v>
      </c>
      <c r="E459" s="94">
        <f>'STUDENT DETAILS'!E456</f>
        <v>0</v>
      </c>
      <c r="F459" s="66" t="b">
        <f t="shared" si="28"/>
        <v>0</v>
      </c>
      <c r="G459" s="66"/>
      <c r="H459" s="66"/>
      <c r="I459" s="66"/>
      <c r="J459" s="66"/>
      <c r="K459" s="66">
        <f t="shared" si="29"/>
        <v>0</v>
      </c>
      <c r="L459" s="66">
        <f t="shared" si="30"/>
        <v>0</v>
      </c>
      <c r="M459" s="66" t="str">
        <f t="shared" si="31"/>
        <v>UNPAID</v>
      </c>
    </row>
    <row r="460" spans="1:13" x14ac:dyDescent="0.3">
      <c r="A460" s="66">
        <f>'STUDENT DETAILS'!A457</f>
        <v>0</v>
      </c>
      <c r="B460" s="66">
        <f>'STUDENT DETAILS'!B457</f>
        <v>0</v>
      </c>
      <c r="C460" s="66">
        <f>'STUDENT DETAILS'!C457</f>
        <v>0</v>
      </c>
      <c r="D460" s="66">
        <f>'STUDENT DETAILS'!D457</f>
        <v>0</v>
      </c>
      <c r="E460" s="94">
        <f>'STUDENT DETAILS'!E457</f>
        <v>0</v>
      </c>
      <c r="F460" s="66" t="b">
        <f t="shared" si="28"/>
        <v>0</v>
      </c>
      <c r="G460" s="66"/>
      <c r="H460" s="66"/>
      <c r="I460" s="66"/>
      <c r="J460" s="66"/>
      <c r="K460" s="66">
        <f t="shared" si="29"/>
        <v>0</v>
      </c>
      <c r="L460" s="66">
        <f t="shared" si="30"/>
        <v>0</v>
      </c>
      <c r="M460" s="66" t="str">
        <f t="shared" si="31"/>
        <v>UNPAID</v>
      </c>
    </row>
    <row r="461" spans="1:13" x14ac:dyDescent="0.3">
      <c r="A461" s="66">
        <f>'STUDENT DETAILS'!A458</f>
        <v>0</v>
      </c>
      <c r="B461" s="66">
        <f>'STUDENT DETAILS'!B458</f>
        <v>0</v>
      </c>
      <c r="C461" s="66">
        <f>'STUDENT DETAILS'!C458</f>
        <v>0</v>
      </c>
      <c r="D461" s="66">
        <f>'STUDENT DETAILS'!D458</f>
        <v>0</v>
      </c>
      <c r="E461" s="94">
        <f>'STUDENT DETAILS'!E458</f>
        <v>0</v>
      </c>
      <c r="F461" s="66" t="b">
        <f t="shared" si="28"/>
        <v>0</v>
      </c>
      <c r="G461" s="66"/>
      <c r="H461" s="66"/>
      <c r="I461" s="66"/>
      <c r="J461" s="66"/>
      <c r="K461" s="66">
        <f t="shared" si="29"/>
        <v>0</v>
      </c>
      <c r="L461" s="66">
        <f t="shared" si="30"/>
        <v>0</v>
      </c>
      <c r="M461" s="66" t="str">
        <f t="shared" si="31"/>
        <v>UNPAID</v>
      </c>
    </row>
    <row r="462" spans="1:13" x14ac:dyDescent="0.3">
      <c r="A462" s="66">
        <f>'STUDENT DETAILS'!A459</f>
        <v>0</v>
      </c>
      <c r="B462" s="66">
        <f>'STUDENT DETAILS'!B459</f>
        <v>0</v>
      </c>
      <c r="C462" s="66">
        <f>'STUDENT DETAILS'!C459</f>
        <v>0</v>
      </c>
      <c r="D462" s="66">
        <f>'STUDENT DETAILS'!D459</f>
        <v>0</v>
      </c>
      <c r="E462" s="94">
        <f>'STUDENT DETAILS'!E459</f>
        <v>0</v>
      </c>
      <c r="F462" s="66" t="b">
        <f t="shared" si="28"/>
        <v>0</v>
      </c>
      <c r="G462" s="66"/>
      <c r="H462" s="66"/>
      <c r="I462" s="66"/>
      <c r="J462" s="66"/>
      <c r="K462" s="66">
        <f t="shared" si="29"/>
        <v>0</v>
      </c>
      <c r="L462" s="66">
        <f t="shared" si="30"/>
        <v>0</v>
      </c>
      <c r="M462" s="66" t="str">
        <f t="shared" si="31"/>
        <v>UNPAID</v>
      </c>
    </row>
    <row r="463" spans="1:13" x14ac:dyDescent="0.3">
      <c r="A463" s="66">
        <f>'STUDENT DETAILS'!A460</f>
        <v>0</v>
      </c>
      <c r="B463" s="66">
        <f>'STUDENT DETAILS'!B460</f>
        <v>0</v>
      </c>
      <c r="C463" s="66">
        <f>'STUDENT DETAILS'!C460</f>
        <v>0</v>
      </c>
      <c r="D463" s="66">
        <f>'STUDENT DETAILS'!D460</f>
        <v>0</v>
      </c>
      <c r="E463" s="94">
        <f>'STUDENT DETAILS'!E460</f>
        <v>0</v>
      </c>
      <c r="F463" s="66" t="b">
        <f t="shared" si="28"/>
        <v>0</v>
      </c>
      <c r="G463" s="66"/>
      <c r="H463" s="66"/>
      <c r="I463" s="66"/>
      <c r="J463" s="66"/>
      <c r="K463" s="66">
        <f t="shared" si="29"/>
        <v>0</v>
      </c>
      <c r="L463" s="66">
        <f t="shared" si="30"/>
        <v>0</v>
      </c>
      <c r="M463" s="66" t="str">
        <f t="shared" si="31"/>
        <v>UNPAID</v>
      </c>
    </row>
    <row r="464" spans="1:13" x14ac:dyDescent="0.3">
      <c r="A464" s="66">
        <f>'STUDENT DETAILS'!A461</f>
        <v>0</v>
      </c>
      <c r="B464" s="66">
        <f>'STUDENT DETAILS'!B461</f>
        <v>0</v>
      </c>
      <c r="C464" s="66">
        <f>'STUDENT DETAILS'!C461</f>
        <v>0</v>
      </c>
      <c r="D464" s="66">
        <f>'STUDENT DETAILS'!D461</f>
        <v>0</v>
      </c>
      <c r="E464" s="94">
        <f>'STUDENT DETAILS'!E461</f>
        <v>0</v>
      </c>
      <c r="F464" s="66" t="b">
        <f t="shared" si="28"/>
        <v>0</v>
      </c>
      <c r="G464" s="66"/>
      <c r="H464" s="66"/>
      <c r="I464" s="66"/>
      <c r="J464" s="66"/>
      <c r="K464" s="66">
        <f t="shared" si="29"/>
        <v>0</v>
      </c>
      <c r="L464" s="66">
        <f t="shared" si="30"/>
        <v>0</v>
      </c>
      <c r="M464" s="66" t="str">
        <f t="shared" si="31"/>
        <v>UNPAID</v>
      </c>
    </row>
    <row r="465" spans="1:13" x14ac:dyDescent="0.3">
      <c r="A465" s="66">
        <f>'STUDENT DETAILS'!A462</f>
        <v>0</v>
      </c>
      <c r="B465" s="66">
        <f>'STUDENT DETAILS'!B462</f>
        <v>0</v>
      </c>
      <c r="C465" s="66">
        <f>'STUDENT DETAILS'!C462</f>
        <v>0</v>
      </c>
      <c r="D465" s="66">
        <f>'STUDENT DETAILS'!D462</f>
        <v>0</v>
      </c>
      <c r="E465" s="94">
        <f>'STUDENT DETAILS'!E462</f>
        <v>0</v>
      </c>
      <c r="F465" s="66" t="b">
        <f t="shared" si="28"/>
        <v>0</v>
      </c>
      <c r="G465" s="66"/>
      <c r="H465" s="66"/>
      <c r="I465" s="66"/>
      <c r="J465" s="66"/>
      <c r="K465" s="66">
        <f t="shared" si="29"/>
        <v>0</v>
      </c>
      <c r="L465" s="66">
        <f t="shared" si="30"/>
        <v>0</v>
      </c>
      <c r="M465" s="66" t="str">
        <f t="shared" si="31"/>
        <v>UNPAID</v>
      </c>
    </row>
    <row r="466" spans="1:13" x14ac:dyDescent="0.3">
      <c r="A466" s="66">
        <f>'STUDENT DETAILS'!A463</f>
        <v>0</v>
      </c>
      <c r="B466" s="66">
        <f>'STUDENT DETAILS'!B463</f>
        <v>0</v>
      </c>
      <c r="C466" s="66">
        <f>'STUDENT DETAILS'!C463</f>
        <v>0</v>
      </c>
      <c r="D466" s="66">
        <f>'STUDENT DETAILS'!D463</f>
        <v>0</v>
      </c>
      <c r="E466" s="94">
        <f>'STUDENT DETAILS'!E463</f>
        <v>0</v>
      </c>
      <c r="F466" s="66" t="b">
        <f t="shared" si="28"/>
        <v>0</v>
      </c>
      <c r="G466" s="66"/>
      <c r="H466" s="66"/>
      <c r="I466" s="66"/>
      <c r="J466" s="66"/>
      <c r="K466" s="66">
        <f t="shared" si="29"/>
        <v>0</v>
      </c>
      <c r="L466" s="66">
        <f t="shared" si="30"/>
        <v>0</v>
      </c>
      <c r="M466" s="66" t="str">
        <f t="shared" si="31"/>
        <v>UNPAID</v>
      </c>
    </row>
    <row r="467" spans="1:13" x14ac:dyDescent="0.3">
      <c r="A467" s="66">
        <f>'STUDENT DETAILS'!A464</f>
        <v>0</v>
      </c>
      <c r="B467" s="66">
        <f>'STUDENT DETAILS'!B464</f>
        <v>0</v>
      </c>
      <c r="C467" s="66">
        <f>'STUDENT DETAILS'!C464</f>
        <v>0</v>
      </c>
      <c r="D467" s="66">
        <f>'STUDENT DETAILS'!D464</f>
        <v>0</v>
      </c>
      <c r="E467" s="94">
        <f>'STUDENT DETAILS'!E464</f>
        <v>0</v>
      </c>
      <c r="F467" s="66" t="b">
        <f t="shared" si="28"/>
        <v>0</v>
      </c>
      <c r="G467" s="66"/>
      <c r="H467" s="66"/>
      <c r="I467" s="66"/>
      <c r="J467" s="66"/>
      <c r="K467" s="66">
        <f t="shared" si="29"/>
        <v>0</v>
      </c>
      <c r="L467" s="66">
        <f t="shared" si="30"/>
        <v>0</v>
      </c>
      <c r="M467" s="66" t="str">
        <f t="shared" si="31"/>
        <v>UNPAID</v>
      </c>
    </row>
    <row r="468" spans="1:13" x14ac:dyDescent="0.3">
      <c r="A468" s="66">
        <f>'STUDENT DETAILS'!A465</f>
        <v>0</v>
      </c>
      <c r="B468" s="66">
        <f>'STUDENT DETAILS'!B465</f>
        <v>0</v>
      </c>
      <c r="C468" s="66">
        <f>'STUDENT DETAILS'!C465</f>
        <v>0</v>
      </c>
      <c r="D468" s="66">
        <f>'STUDENT DETAILS'!D465</f>
        <v>0</v>
      </c>
      <c r="E468" s="94">
        <f>'STUDENT DETAILS'!E465</f>
        <v>0</v>
      </c>
      <c r="F468" s="66" t="b">
        <f t="shared" si="28"/>
        <v>0</v>
      </c>
      <c r="G468" s="66"/>
      <c r="H468" s="66"/>
      <c r="I468" s="66"/>
      <c r="J468" s="66"/>
      <c r="K468" s="66">
        <f t="shared" si="29"/>
        <v>0</v>
      </c>
      <c r="L468" s="66">
        <f t="shared" si="30"/>
        <v>0</v>
      </c>
      <c r="M468" s="66" t="str">
        <f t="shared" si="31"/>
        <v>UNPAID</v>
      </c>
    </row>
    <row r="469" spans="1:13" x14ac:dyDescent="0.3">
      <c r="A469" s="66">
        <f>'STUDENT DETAILS'!A466</f>
        <v>0</v>
      </c>
      <c r="B469" s="66">
        <f>'STUDENT DETAILS'!B466</f>
        <v>0</v>
      </c>
      <c r="C469" s="66">
        <f>'STUDENT DETAILS'!C466</f>
        <v>0</v>
      </c>
      <c r="D469" s="66">
        <f>'STUDENT DETAILS'!D466</f>
        <v>0</v>
      </c>
      <c r="E469" s="94">
        <f>'STUDENT DETAILS'!E466</f>
        <v>0</v>
      </c>
      <c r="F469" s="66" t="b">
        <f t="shared" si="28"/>
        <v>0</v>
      </c>
      <c r="G469" s="66"/>
      <c r="H469" s="66"/>
      <c r="I469" s="66"/>
      <c r="J469" s="66"/>
      <c r="K469" s="66">
        <f t="shared" si="29"/>
        <v>0</v>
      </c>
      <c r="L469" s="66">
        <f t="shared" si="30"/>
        <v>0</v>
      </c>
      <c r="M469" s="66" t="str">
        <f t="shared" si="31"/>
        <v>UNPAID</v>
      </c>
    </row>
    <row r="470" spans="1:13" x14ac:dyDescent="0.3">
      <c r="A470" s="66">
        <f>'STUDENT DETAILS'!A467</f>
        <v>0</v>
      </c>
      <c r="B470" s="66">
        <f>'STUDENT DETAILS'!B467</f>
        <v>0</v>
      </c>
      <c r="C470" s="66">
        <f>'STUDENT DETAILS'!C467</f>
        <v>0</v>
      </c>
      <c r="D470" s="66">
        <f>'STUDENT DETAILS'!D467</f>
        <v>0</v>
      </c>
      <c r="E470" s="94">
        <f>'STUDENT DETAILS'!E467</f>
        <v>0</v>
      </c>
      <c r="F470" s="66" t="b">
        <f t="shared" si="28"/>
        <v>0</v>
      </c>
      <c r="G470" s="66"/>
      <c r="H470" s="66"/>
      <c r="I470" s="66"/>
      <c r="J470" s="66"/>
      <c r="K470" s="66">
        <f t="shared" si="29"/>
        <v>0</v>
      </c>
      <c r="L470" s="66">
        <f t="shared" si="30"/>
        <v>0</v>
      </c>
      <c r="M470" s="66" t="str">
        <f t="shared" si="31"/>
        <v>UNPAID</v>
      </c>
    </row>
    <row r="471" spans="1:13" x14ac:dyDescent="0.3">
      <c r="A471" s="66">
        <f>'STUDENT DETAILS'!A468</f>
        <v>0</v>
      </c>
      <c r="B471" s="66">
        <f>'STUDENT DETAILS'!B468</f>
        <v>0</v>
      </c>
      <c r="C471" s="66">
        <f>'STUDENT DETAILS'!C468</f>
        <v>0</v>
      </c>
      <c r="D471" s="66">
        <f>'STUDENT DETAILS'!D468</f>
        <v>0</v>
      </c>
      <c r="E471" s="94">
        <f>'STUDENT DETAILS'!E468</f>
        <v>0</v>
      </c>
      <c r="F471" s="66" t="b">
        <f t="shared" si="28"/>
        <v>0</v>
      </c>
      <c r="G471" s="66"/>
      <c r="H471" s="66"/>
      <c r="I471" s="66"/>
      <c r="J471" s="66"/>
      <c r="K471" s="66">
        <f t="shared" si="29"/>
        <v>0</v>
      </c>
      <c r="L471" s="66">
        <f t="shared" si="30"/>
        <v>0</v>
      </c>
      <c r="M471" s="66" t="str">
        <f t="shared" si="31"/>
        <v>UNPAID</v>
      </c>
    </row>
    <row r="472" spans="1:13" x14ac:dyDescent="0.3">
      <c r="A472" s="66">
        <f>'STUDENT DETAILS'!A469</f>
        <v>0</v>
      </c>
      <c r="B472" s="66">
        <f>'STUDENT DETAILS'!B469</f>
        <v>0</v>
      </c>
      <c r="C472" s="66">
        <f>'STUDENT DETAILS'!C469</f>
        <v>0</v>
      </c>
      <c r="D472" s="66">
        <f>'STUDENT DETAILS'!D469</f>
        <v>0</v>
      </c>
      <c r="E472" s="94">
        <f>'STUDENT DETAILS'!E469</f>
        <v>0</v>
      </c>
      <c r="F472" s="66" t="b">
        <f t="shared" si="28"/>
        <v>0</v>
      </c>
      <c r="G472" s="66"/>
      <c r="H472" s="66"/>
      <c r="I472" s="66"/>
      <c r="J472" s="66"/>
      <c r="K472" s="66">
        <f t="shared" si="29"/>
        <v>0</v>
      </c>
      <c r="L472" s="66">
        <f t="shared" si="30"/>
        <v>0</v>
      </c>
      <c r="M472" s="66" t="str">
        <f t="shared" si="31"/>
        <v>UNPAID</v>
      </c>
    </row>
    <row r="473" spans="1:13" x14ac:dyDescent="0.3">
      <c r="A473" s="66">
        <f>'STUDENT DETAILS'!A470</f>
        <v>0</v>
      </c>
      <c r="B473" s="66">
        <f>'STUDENT DETAILS'!B470</f>
        <v>0</v>
      </c>
      <c r="C473" s="66">
        <f>'STUDENT DETAILS'!C470</f>
        <v>0</v>
      </c>
      <c r="D473" s="66">
        <f>'STUDENT DETAILS'!D470</f>
        <v>0</v>
      </c>
      <c r="E473" s="94">
        <f>'STUDENT DETAILS'!E470</f>
        <v>0</v>
      </c>
      <c r="F473" s="66" t="b">
        <f t="shared" si="28"/>
        <v>0</v>
      </c>
      <c r="G473" s="66"/>
      <c r="H473" s="66"/>
      <c r="I473" s="66"/>
      <c r="J473" s="66"/>
      <c r="K473" s="66">
        <f t="shared" si="29"/>
        <v>0</v>
      </c>
      <c r="L473" s="66">
        <f t="shared" si="30"/>
        <v>0</v>
      </c>
      <c r="M473" s="66" t="str">
        <f t="shared" si="31"/>
        <v>UNPAID</v>
      </c>
    </row>
    <row r="474" spans="1:13" x14ac:dyDescent="0.3">
      <c r="A474" s="66">
        <f>'STUDENT DETAILS'!A471</f>
        <v>0</v>
      </c>
      <c r="B474" s="66">
        <f>'STUDENT DETAILS'!B471</f>
        <v>0</v>
      </c>
      <c r="C474" s="66">
        <f>'STUDENT DETAILS'!C471</f>
        <v>0</v>
      </c>
      <c r="D474" s="66">
        <f>'STUDENT DETAILS'!D471</f>
        <v>0</v>
      </c>
      <c r="E474" s="94">
        <f>'STUDENT DETAILS'!E471</f>
        <v>0</v>
      </c>
      <c r="F474" s="66" t="b">
        <f t="shared" si="28"/>
        <v>0</v>
      </c>
      <c r="G474" s="66"/>
      <c r="H474" s="66"/>
      <c r="I474" s="66"/>
      <c r="J474" s="66"/>
      <c r="K474" s="66">
        <f t="shared" si="29"/>
        <v>0</v>
      </c>
      <c r="L474" s="66">
        <f t="shared" si="30"/>
        <v>0</v>
      </c>
      <c r="M474" s="66" t="str">
        <f t="shared" si="31"/>
        <v>UNPAID</v>
      </c>
    </row>
    <row r="475" spans="1:13" x14ac:dyDescent="0.3">
      <c r="A475" s="66">
        <f>'STUDENT DETAILS'!A472</f>
        <v>0</v>
      </c>
      <c r="B475" s="66">
        <f>'STUDENT DETAILS'!B472</f>
        <v>0</v>
      </c>
      <c r="C475" s="66">
        <f>'STUDENT DETAILS'!C472</f>
        <v>0</v>
      </c>
      <c r="D475" s="66">
        <f>'STUDENT DETAILS'!D472</f>
        <v>0</v>
      </c>
      <c r="E475" s="94">
        <f>'STUDENT DETAILS'!E472</f>
        <v>0</v>
      </c>
      <c r="F475" s="66" t="b">
        <f t="shared" si="28"/>
        <v>0</v>
      </c>
      <c r="G475" s="66"/>
      <c r="H475" s="66"/>
      <c r="I475" s="66"/>
      <c r="J475" s="66"/>
      <c r="K475" s="66">
        <f t="shared" si="29"/>
        <v>0</v>
      </c>
      <c r="L475" s="66">
        <f t="shared" si="30"/>
        <v>0</v>
      </c>
      <c r="M475" s="66" t="str">
        <f t="shared" si="31"/>
        <v>UNPAID</v>
      </c>
    </row>
    <row r="476" spans="1:13" x14ac:dyDescent="0.3">
      <c r="A476" s="66">
        <f>'STUDENT DETAILS'!A473</f>
        <v>0</v>
      </c>
      <c r="B476" s="66">
        <f>'STUDENT DETAILS'!B473</f>
        <v>0</v>
      </c>
      <c r="C476" s="66">
        <f>'STUDENT DETAILS'!C473</f>
        <v>0</v>
      </c>
      <c r="D476" s="66">
        <f>'STUDENT DETAILS'!D473</f>
        <v>0</v>
      </c>
      <c r="E476" s="94">
        <f>'STUDENT DETAILS'!E473</f>
        <v>0</v>
      </c>
      <c r="F476" s="66" t="b">
        <f t="shared" si="28"/>
        <v>0</v>
      </c>
      <c r="G476" s="66"/>
      <c r="H476" s="66"/>
      <c r="I476" s="66"/>
      <c r="J476" s="66"/>
      <c r="K476" s="66">
        <f t="shared" si="29"/>
        <v>0</v>
      </c>
      <c r="L476" s="66">
        <f t="shared" si="30"/>
        <v>0</v>
      </c>
      <c r="M476" s="66" t="str">
        <f t="shared" si="31"/>
        <v>UNPAID</v>
      </c>
    </row>
    <row r="477" spans="1:13" x14ac:dyDescent="0.3">
      <c r="A477" s="66">
        <f>'STUDENT DETAILS'!A474</f>
        <v>0</v>
      </c>
      <c r="B477" s="66">
        <f>'STUDENT DETAILS'!B474</f>
        <v>0</v>
      </c>
      <c r="C477" s="66">
        <f>'STUDENT DETAILS'!C474</f>
        <v>0</v>
      </c>
      <c r="D477" s="66">
        <f>'STUDENT DETAILS'!D474</f>
        <v>0</v>
      </c>
      <c r="E477" s="94">
        <f>'STUDENT DETAILS'!E474</f>
        <v>0</v>
      </c>
      <c r="F477" s="66" t="b">
        <f t="shared" si="28"/>
        <v>0</v>
      </c>
      <c r="G477" s="66"/>
      <c r="H477" s="66"/>
      <c r="I477" s="66"/>
      <c r="J477" s="66"/>
      <c r="K477" s="66">
        <f t="shared" si="29"/>
        <v>0</v>
      </c>
      <c r="L477" s="66">
        <f t="shared" si="30"/>
        <v>0</v>
      </c>
      <c r="M477" s="66" t="str">
        <f t="shared" si="31"/>
        <v>UNPAID</v>
      </c>
    </row>
    <row r="478" spans="1:13" x14ac:dyDescent="0.3">
      <c r="A478" s="66">
        <f>'STUDENT DETAILS'!A475</f>
        <v>0</v>
      </c>
      <c r="B478" s="66">
        <f>'STUDENT DETAILS'!B475</f>
        <v>0</v>
      </c>
      <c r="C478" s="66">
        <f>'STUDENT DETAILS'!C475</f>
        <v>0</v>
      </c>
      <c r="D478" s="66">
        <f>'STUDENT DETAILS'!D475</f>
        <v>0</v>
      </c>
      <c r="E478" s="94">
        <f>'STUDENT DETAILS'!E475</f>
        <v>0</v>
      </c>
      <c r="F478" s="66" t="b">
        <f t="shared" si="28"/>
        <v>0</v>
      </c>
      <c r="G478" s="66"/>
      <c r="H478" s="66"/>
      <c r="I478" s="66"/>
      <c r="J478" s="66"/>
      <c r="K478" s="66">
        <f t="shared" si="29"/>
        <v>0</v>
      </c>
      <c r="L478" s="66">
        <f t="shared" si="30"/>
        <v>0</v>
      </c>
      <c r="M478" s="66" t="str">
        <f t="shared" si="31"/>
        <v>UNPAID</v>
      </c>
    </row>
    <row r="479" spans="1:13" x14ac:dyDescent="0.3">
      <c r="A479" s="66">
        <f>'STUDENT DETAILS'!A476</f>
        <v>0</v>
      </c>
      <c r="B479" s="66">
        <f>'STUDENT DETAILS'!B476</f>
        <v>0</v>
      </c>
      <c r="C479" s="66">
        <f>'STUDENT DETAILS'!C476</f>
        <v>0</v>
      </c>
      <c r="D479" s="66">
        <f>'STUDENT DETAILS'!D476</f>
        <v>0</v>
      </c>
      <c r="E479" s="94">
        <f>'STUDENT DETAILS'!E476</f>
        <v>0</v>
      </c>
      <c r="F479" s="66" t="b">
        <f t="shared" si="28"/>
        <v>0</v>
      </c>
      <c r="G479" s="66"/>
      <c r="H479" s="66"/>
      <c r="I479" s="66"/>
      <c r="J479" s="66"/>
      <c r="K479" s="66">
        <f t="shared" si="29"/>
        <v>0</v>
      </c>
      <c r="L479" s="66">
        <f t="shared" si="30"/>
        <v>0</v>
      </c>
      <c r="M479" s="66" t="str">
        <f t="shared" si="31"/>
        <v>UNPAID</v>
      </c>
    </row>
    <row r="480" spans="1:13" x14ac:dyDescent="0.3">
      <c r="A480" s="66">
        <f>'STUDENT DETAILS'!A477</f>
        <v>0</v>
      </c>
      <c r="B480" s="66">
        <f>'STUDENT DETAILS'!B477</f>
        <v>0</v>
      </c>
      <c r="C480" s="66">
        <f>'STUDENT DETAILS'!C477</f>
        <v>0</v>
      </c>
      <c r="D480" s="66">
        <f>'STUDENT DETAILS'!D477</f>
        <v>0</v>
      </c>
      <c r="E480" s="94">
        <f>'STUDENT DETAILS'!E477</f>
        <v>0</v>
      </c>
      <c r="F480" s="66" t="b">
        <f t="shared" si="28"/>
        <v>0</v>
      </c>
      <c r="G480" s="66"/>
      <c r="H480" s="66"/>
      <c r="I480" s="66"/>
      <c r="J480" s="66"/>
      <c r="K480" s="66">
        <f t="shared" si="29"/>
        <v>0</v>
      </c>
      <c r="L480" s="66">
        <f t="shared" si="30"/>
        <v>0</v>
      </c>
      <c r="M480" s="66" t="str">
        <f t="shared" si="31"/>
        <v>UNPAID</v>
      </c>
    </row>
    <row r="481" spans="1:13" x14ac:dyDescent="0.3">
      <c r="A481" s="66">
        <f>'STUDENT DETAILS'!A478</f>
        <v>0</v>
      </c>
      <c r="B481" s="66">
        <f>'STUDENT DETAILS'!B478</f>
        <v>0</v>
      </c>
      <c r="C481" s="66">
        <f>'STUDENT DETAILS'!C478</f>
        <v>0</v>
      </c>
      <c r="D481" s="66">
        <f>'STUDENT DETAILS'!D478</f>
        <v>0</v>
      </c>
      <c r="E481" s="94">
        <f>'STUDENT DETAILS'!E478</f>
        <v>0</v>
      </c>
      <c r="F481" s="66" t="b">
        <f t="shared" si="28"/>
        <v>0</v>
      </c>
      <c r="G481" s="66"/>
      <c r="H481" s="66"/>
      <c r="I481" s="66"/>
      <c r="J481" s="66"/>
      <c r="K481" s="66">
        <f t="shared" si="29"/>
        <v>0</v>
      </c>
      <c r="L481" s="66">
        <f t="shared" si="30"/>
        <v>0</v>
      </c>
      <c r="M481" s="66" t="str">
        <f t="shared" si="31"/>
        <v>UNPAID</v>
      </c>
    </row>
    <row r="482" spans="1:13" x14ac:dyDescent="0.3">
      <c r="A482" s="66">
        <f>'STUDENT DETAILS'!A479</f>
        <v>0</v>
      </c>
      <c r="B482" s="66">
        <f>'STUDENT DETAILS'!B479</f>
        <v>0</v>
      </c>
      <c r="C482" s="66">
        <f>'STUDENT DETAILS'!C479</f>
        <v>0</v>
      </c>
      <c r="D482" s="66">
        <f>'STUDENT DETAILS'!D479</f>
        <v>0</v>
      </c>
      <c r="E482" s="94">
        <f>'STUDENT DETAILS'!E479</f>
        <v>0</v>
      </c>
      <c r="F482" s="66" t="b">
        <f t="shared" si="28"/>
        <v>0</v>
      </c>
      <c r="G482" s="66"/>
      <c r="H482" s="66"/>
      <c r="I482" s="66"/>
      <c r="J482" s="66"/>
      <c r="K482" s="66">
        <f t="shared" si="29"/>
        <v>0</v>
      </c>
      <c r="L482" s="66">
        <f t="shared" si="30"/>
        <v>0</v>
      </c>
      <c r="M482" s="66" t="str">
        <f t="shared" si="31"/>
        <v>UNPAID</v>
      </c>
    </row>
    <row r="483" spans="1:13" x14ac:dyDescent="0.3">
      <c r="A483" s="66">
        <f>'STUDENT DETAILS'!A480</f>
        <v>0</v>
      </c>
      <c r="B483" s="66">
        <f>'STUDENT DETAILS'!B480</f>
        <v>0</v>
      </c>
      <c r="C483" s="66">
        <f>'STUDENT DETAILS'!C480</f>
        <v>0</v>
      </c>
      <c r="D483" s="66">
        <f>'STUDENT DETAILS'!D480</f>
        <v>0</v>
      </c>
      <c r="E483" s="94">
        <f>'STUDENT DETAILS'!E480</f>
        <v>0</v>
      </c>
      <c r="F483" s="66" t="b">
        <f t="shared" si="28"/>
        <v>0</v>
      </c>
      <c r="G483" s="66"/>
      <c r="H483" s="66"/>
      <c r="I483" s="66"/>
      <c r="J483" s="66"/>
      <c r="K483" s="66">
        <f t="shared" si="29"/>
        <v>0</v>
      </c>
      <c r="L483" s="66">
        <f t="shared" si="30"/>
        <v>0</v>
      </c>
      <c r="M483" s="66" t="str">
        <f t="shared" si="31"/>
        <v>UNPAID</v>
      </c>
    </row>
    <row r="484" spans="1:13" x14ac:dyDescent="0.3">
      <c r="A484" s="66">
        <f>'STUDENT DETAILS'!A481</f>
        <v>0</v>
      </c>
      <c r="B484" s="66">
        <f>'STUDENT DETAILS'!B481</f>
        <v>0</v>
      </c>
      <c r="C484" s="66">
        <f>'STUDENT DETAILS'!C481</f>
        <v>0</v>
      </c>
      <c r="D484" s="66">
        <f>'STUDENT DETAILS'!D481</f>
        <v>0</v>
      </c>
      <c r="E484" s="94">
        <f>'STUDENT DETAILS'!E481</f>
        <v>0</v>
      </c>
      <c r="F484" s="66" t="b">
        <f t="shared" si="28"/>
        <v>0</v>
      </c>
      <c r="G484" s="66"/>
      <c r="H484" s="66"/>
      <c r="I484" s="66"/>
      <c r="J484" s="66"/>
      <c r="K484" s="66">
        <f t="shared" si="29"/>
        <v>0</v>
      </c>
      <c r="L484" s="66">
        <f t="shared" si="30"/>
        <v>0</v>
      </c>
      <c r="M484" s="66" t="str">
        <f t="shared" si="31"/>
        <v>UNPAID</v>
      </c>
    </row>
    <row r="485" spans="1:13" x14ac:dyDescent="0.3">
      <c r="A485" s="66">
        <f>'STUDENT DETAILS'!A482</f>
        <v>0</v>
      </c>
      <c r="B485" s="66">
        <f>'STUDENT DETAILS'!B482</f>
        <v>0</v>
      </c>
      <c r="C485" s="66">
        <f>'STUDENT DETAILS'!C482</f>
        <v>0</v>
      </c>
      <c r="D485" s="66">
        <f>'STUDENT DETAILS'!D482</f>
        <v>0</v>
      </c>
      <c r="E485" s="94">
        <f>'STUDENT DETAILS'!E482</f>
        <v>0</v>
      </c>
      <c r="F485" s="66" t="b">
        <f t="shared" si="28"/>
        <v>0</v>
      </c>
      <c r="G485" s="66"/>
      <c r="H485" s="66"/>
      <c r="I485" s="66"/>
      <c r="J485" s="66"/>
      <c r="K485" s="66">
        <f t="shared" si="29"/>
        <v>0</v>
      </c>
      <c r="L485" s="66">
        <f t="shared" si="30"/>
        <v>0</v>
      </c>
      <c r="M485" s="66" t="str">
        <f t="shared" si="31"/>
        <v>UNPAID</v>
      </c>
    </row>
    <row r="486" spans="1:13" x14ac:dyDescent="0.3">
      <c r="A486" s="66">
        <f>'STUDENT DETAILS'!A483</f>
        <v>0</v>
      </c>
      <c r="B486" s="66">
        <f>'STUDENT DETAILS'!B483</f>
        <v>0</v>
      </c>
      <c r="C486" s="66">
        <f>'STUDENT DETAILS'!C483</f>
        <v>0</v>
      </c>
      <c r="D486" s="66">
        <f>'STUDENT DETAILS'!D483</f>
        <v>0</v>
      </c>
      <c r="E486" s="94">
        <f>'STUDENT DETAILS'!E483</f>
        <v>0</v>
      </c>
      <c r="F486" s="66" t="b">
        <f t="shared" si="28"/>
        <v>0</v>
      </c>
      <c r="G486" s="66"/>
      <c r="H486" s="66"/>
      <c r="I486" s="66"/>
      <c r="J486" s="66"/>
      <c r="K486" s="66">
        <f t="shared" si="29"/>
        <v>0</v>
      </c>
      <c r="L486" s="66">
        <f t="shared" si="30"/>
        <v>0</v>
      </c>
      <c r="M486" s="66" t="str">
        <f t="shared" si="31"/>
        <v>UNPAID</v>
      </c>
    </row>
    <row r="487" spans="1:13" x14ac:dyDescent="0.3">
      <c r="A487" s="66">
        <f>'STUDENT DETAILS'!A484</f>
        <v>0</v>
      </c>
      <c r="B487" s="66">
        <f>'STUDENT DETAILS'!B484</f>
        <v>0</v>
      </c>
      <c r="C487" s="66">
        <f>'STUDENT DETAILS'!C484</f>
        <v>0</v>
      </c>
      <c r="D487" s="66">
        <f>'STUDENT DETAILS'!D484</f>
        <v>0</v>
      </c>
      <c r="E487" s="94">
        <f>'STUDENT DETAILS'!E484</f>
        <v>0</v>
      </c>
      <c r="F487" s="66" t="b">
        <f t="shared" si="28"/>
        <v>0</v>
      </c>
      <c r="G487" s="66"/>
      <c r="H487" s="66"/>
      <c r="I487" s="66"/>
      <c r="J487" s="66"/>
      <c r="K487" s="66">
        <f t="shared" si="29"/>
        <v>0</v>
      </c>
      <c r="L487" s="66">
        <f t="shared" si="30"/>
        <v>0</v>
      </c>
      <c r="M487" s="66" t="str">
        <f t="shared" si="31"/>
        <v>UNPAID</v>
      </c>
    </row>
    <row r="488" spans="1:13" x14ac:dyDescent="0.3">
      <c r="A488" s="66">
        <f>'STUDENT DETAILS'!A485</f>
        <v>0</v>
      </c>
      <c r="B488" s="66">
        <f>'STUDENT DETAILS'!B485</f>
        <v>0</v>
      </c>
      <c r="C488" s="66">
        <f>'STUDENT DETAILS'!C485</f>
        <v>0</v>
      </c>
      <c r="D488" s="66">
        <f>'STUDENT DETAILS'!D485</f>
        <v>0</v>
      </c>
      <c r="E488" s="94">
        <f>'STUDENT DETAILS'!E485</f>
        <v>0</v>
      </c>
      <c r="F488" s="66" t="b">
        <f t="shared" si="28"/>
        <v>0</v>
      </c>
      <c r="G488" s="66"/>
      <c r="H488" s="66"/>
      <c r="I488" s="66"/>
      <c r="J488" s="66"/>
      <c r="K488" s="66">
        <f t="shared" si="29"/>
        <v>0</v>
      </c>
      <c r="L488" s="66">
        <f t="shared" si="30"/>
        <v>0</v>
      </c>
      <c r="M488" s="66" t="str">
        <f t="shared" si="31"/>
        <v>UNPAID</v>
      </c>
    </row>
    <row r="489" spans="1:13" x14ac:dyDescent="0.3">
      <c r="A489" s="66">
        <f>'STUDENT DETAILS'!A486</f>
        <v>0</v>
      </c>
      <c r="B489" s="66">
        <f>'STUDENT DETAILS'!B486</f>
        <v>0</v>
      </c>
      <c r="C489" s="66">
        <f>'STUDENT DETAILS'!C486</f>
        <v>0</v>
      </c>
      <c r="D489" s="66">
        <f>'STUDENT DETAILS'!D486</f>
        <v>0</v>
      </c>
      <c r="E489" s="94">
        <f>'STUDENT DETAILS'!E486</f>
        <v>0</v>
      </c>
      <c r="F489" s="66" t="b">
        <f t="shared" si="28"/>
        <v>0</v>
      </c>
      <c r="G489" s="66"/>
      <c r="H489" s="66"/>
      <c r="I489" s="66"/>
      <c r="J489" s="66"/>
      <c r="K489" s="66">
        <f t="shared" si="29"/>
        <v>0</v>
      </c>
      <c r="L489" s="66">
        <f t="shared" si="30"/>
        <v>0</v>
      </c>
      <c r="M489" s="66" t="str">
        <f t="shared" si="31"/>
        <v>UNPAID</v>
      </c>
    </row>
    <row r="490" spans="1:13" x14ac:dyDescent="0.3">
      <c r="A490" s="66">
        <f>'STUDENT DETAILS'!A487</f>
        <v>0</v>
      </c>
      <c r="B490" s="66">
        <f>'STUDENT DETAILS'!B487</f>
        <v>0</v>
      </c>
      <c r="C490" s="66">
        <f>'STUDENT DETAILS'!C487</f>
        <v>0</v>
      </c>
      <c r="D490" s="66">
        <f>'STUDENT DETAILS'!D487</f>
        <v>0</v>
      </c>
      <c r="E490" s="94">
        <f>'STUDENT DETAILS'!E487</f>
        <v>0</v>
      </c>
      <c r="F490" s="66" t="b">
        <f t="shared" si="28"/>
        <v>0</v>
      </c>
      <c r="G490" s="66"/>
      <c r="H490" s="66"/>
      <c r="I490" s="66"/>
      <c r="J490" s="66"/>
      <c r="K490" s="66">
        <f t="shared" si="29"/>
        <v>0</v>
      </c>
      <c r="L490" s="66">
        <f t="shared" si="30"/>
        <v>0</v>
      </c>
      <c r="M490" s="66" t="str">
        <f t="shared" si="31"/>
        <v>UNPAID</v>
      </c>
    </row>
    <row r="491" spans="1:13" x14ac:dyDescent="0.3">
      <c r="A491" s="66">
        <f>'STUDENT DETAILS'!A488</f>
        <v>0</v>
      </c>
      <c r="B491" s="66">
        <f>'STUDENT DETAILS'!B488</f>
        <v>0</v>
      </c>
      <c r="C491" s="66">
        <f>'STUDENT DETAILS'!C488</f>
        <v>0</v>
      </c>
      <c r="D491" s="66">
        <f>'STUDENT DETAILS'!D488</f>
        <v>0</v>
      </c>
      <c r="E491" s="94">
        <f>'STUDENT DETAILS'!E488</f>
        <v>0</v>
      </c>
      <c r="F491" s="66" t="b">
        <f t="shared" si="28"/>
        <v>0</v>
      </c>
      <c r="G491" s="66"/>
      <c r="H491" s="66"/>
      <c r="I491" s="66"/>
      <c r="J491" s="66"/>
      <c r="K491" s="66">
        <f t="shared" si="29"/>
        <v>0</v>
      </c>
      <c r="L491" s="66">
        <f t="shared" si="30"/>
        <v>0</v>
      </c>
      <c r="M491" s="66" t="str">
        <f t="shared" si="31"/>
        <v>UNPAID</v>
      </c>
    </row>
    <row r="492" spans="1:13" x14ac:dyDescent="0.3">
      <c r="A492" s="66">
        <f>'STUDENT DETAILS'!A489</f>
        <v>0</v>
      </c>
      <c r="B492" s="66">
        <f>'STUDENT DETAILS'!B489</f>
        <v>0</v>
      </c>
      <c r="C492" s="66">
        <f>'STUDENT DETAILS'!C489</f>
        <v>0</v>
      </c>
      <c r="D492" s="66">
        <f>'STUDENT DETAILS'!D489</f>
        <v>0</v>
      </c>
      <c r="E492" s="94">
        <f>'STUDENT DETAILS'!E489</f>
        <v>0</v>
      </c>
      <c r="F492" s="66" t="b">
        <f t="shared" si="28"/>
        <v>0</v>
      </c>
      <c r="G492" s="66"/>
      <c r="H492" s="66"/>
      <c r="I492" s="66"/>
      <c r="J492" s="66"/>
      <c r="K492" s="66">
        <f t="shared" si="29"/>
        <v>0</v>
      </c>
      <c r="L492" s="66">
        <f t="shared" si="30"/>
        <v>0</v>
      </c>
      <c r="M492" s="66" t="str">
        <f t="shared" si="31"/>
        <v>UNPAID</v>
      </c>
    </row>
    <row r="493" spans="1:13" x14ac:dyDescent="0.3">
      <c r="A493" s="66">
        <f>'STUDENT DETAILS'!A490</f>
        <v>0</v>
      </c>
      <c r="B493" s="66">
        <f>'STUDENT DETAILS'!B490</f>
        <v>0</v>
      </c>
      <c r="C493" s="66">
        <f>'STUDENT DETAILS'!C490</f>
        <v>0</v>
      </c>
      <c r="D493" s="66">
        <f>'STUDENT DETAILS'!D490</f>
        <v>0</v>
      </c>
      <c r="E493" s="94">
        <f>'STUDENT DETAILS'!E490</f>
        <v>0</v>
      </c>
      <c r="F493" s="66" t="b">
        <f t="shared" si="28"/>
        <v>0</v>
      </c>
      <c r="G493" s="66"/>
      <c r="H493" s="66"/>
      <c r="I493" s="66"/>
      <c r="J493" s="66"/>
      <c r="K493" s="66">
        <f t="shared" si="29"/>
        <v>0</v>
      </c>
      <c r="L493" s="66">
        <f t="shared" si="30"/>
        <v>0</v>
      </c>
      <c r="M493" s="66" t="str">
        <f t="shared" si="31"/>
        <v>UNPAID</v>
      </c>
    </row>
    <row r="494" spans="1:13" x14ac:dyDescent="0.3">
      <c r="A494" s="66">
        <f>'STUDENT DETAILS'!A491</f>
        <v>0</v>
      </c>
      <c r="B494" s="66">
        <f>'STUDENT DETAILS'!B491</f>
        <v>0</v>
      </c>
      <c r="C494" s="66">
        <f>'STUDENT DETAILS'!C491</f>
        <v>0</v>
      </c>
      <c r="D494" s="66">
        <f>'STUDENT DETAILS'!D491</f>
        <v>0</v>
      </c>
      <c r="E494" s="94">
        <f>'STUDENT DETAILS'!E491</f>
        <v>0</v>
      </c>
      <c r="F494" s="66" t="b">
        <f t="shared" si="28"/>
        <v>0</v>
      </c>
      <c r="G494" s="66"/>
      <c r="H494" s="66"/>
      <c r="I494" s="66"/>
      <c r="J494" s="66"/>
      <c r="K494" s="66">
        <f t="shared" si="29"/>
        <v>0</v>
      </c>
      <c r="L494" s="66">
        <f t="shared" si="30"/>
        <v>0</v>
      </c>
      <c r="M494" s="66" t="str">
        <f t="shared" si="31"/>
        <v>UNPAID</v>
      </c>
    </row>
    <row r="495" spans="1:13" x14ac:dyDescent="0.3">
      <c r="A495" s="66">
        <f>'STUDENT DETAILS'!A492</f>
        <v>0</v>
      </c>
      <c r="B495" s="66">
        <f>'STUDENT DETAILS'!B492</f>
        <v>0</v>
      </c>
      <c r="C495" s="66">
        <f>'STUDENT DETAILS'!C492</f>
        <v>0</v>
      </c>
      <c r="D495" s="66">
        <f>'STUDENT DETAILS'!D492</f>
        <v>0</v>
      </c>
      <c r="E495" s="94">
        <f>'STUDENT DETAILS'!E492</f>
        <v>0</v>
      </c>
      <c r="F495" s="66" t="b">
        <f t="shared" si="28"/>
        <v>0</v>
      </c>
      <c r="G495" s="66"/>
      <c r="H495" s="66"/>
      <c r="I495" s="66"/>
      <c r="J495" s="66"/>
      <c r="K495" s="66">
        <f t="shared" si="29"/>
        <v>0</v>
      </c>
      <c r="L495" s="66">
        <f t="shared" si="30"/>
        <v>0</v>
      </c>
      <c r="M495" s="66" t="str">
        <f t="shared" si="31"/>
        <v>UNPAID</v>
      </c>
    </row>
    <row r="496" spans="1:13" x14ac:dyDescent="0.3">
      <c r="A496" s="66">
        <f>'STUDENT DETAILS'!A493</f>
        <v>0</v>
      </c>
      <c r="B496" s="66">
        <f>'STUDENT DETAILS'!B493</f>
        <v>0</v>
      </c>
      <c r="C496" s="66">
        <f>'STUDENT DETAILS'!C493</f>
        <v>0</v>
      </c>
      <c r="D496" s="66">
        <f>'STUDENT DETAILS'!D493</f>
        <v>0</v>
      </c>
      <c r="E496" s="94">
        <f>'STUDENT DETAILS'!E493</f>
        <v>0</v>
      </c>
      <c r="F496" s="66" t="b">
        <f t="shared" si="28"/>
        <v>0</v>
      </c>
      <c r="G496" s="66"/>
      <c r="H496" s="66"/>
      <c r="I496" s="66"/>
      <c r="J496" s="66"/>
      <c r="K496" s="66">
        <f t="shared" si="29"/>
        <v>0</v>
      </c>
      <c r="L496" s="66">
        <f t="shared" si="30"/>
        <v>0</v>
      </c>
      <c r="M496" s="66" t="str">
        <f t="shared" si="31"/>
        <v>UNPAID</v>
      </c>
    </row>
    <row r="497" spans="1:13" x14ac:dyDescent="0.3">
      <c r="A497" s="66">
        <f>'STUDENT DETAILS'!A494</f>
        <v>0</v>
      </c>
      <c r="B497" s="66">
        <f>'STUDENT DETAILS'!B494</f>
        <v>0</v>
      </c>
      <c r="C497" s="66">
        <f>'STUDENT DETAILS'!C494</f>
        <v>0</v>
      </c>
      <c r="D497" s="66">
        <f>'STUDENT DETAILS'!D494</f>
        <v>0</v>
      </c>
      <c r="E497" s="94">
        <f>'STUDENT DETAILS'!E494</f>
        <v>0</v>
      </c>
      <c r="F497" s="66" t="b">
        <f t="shared" si="28"/>
        <v>0</v>
      </c>
      <c r="G497" s="66"/>
      <c r="H497" s="66"/>
      <c r="I497" s="66"/>
      <c r="J497" s="66"/>
      <c r="K497" s="66">
        <f t="shared" si="29"/>
        <v>0</v>
      </c>
      <c r="L497" s="66">
        <f t="shared" si="30"/>
        <v>0</v>
      </c>
      <c r="M497" s="66" t="str">
        <f t="shared" si="31"/>
        <v>UNPAID</v>
      </c>
    </row>
    <row r="498" spans="1:13" x14ac:dyDescent="0.3">
      <c r="A498" s="66">
        <f>'STUDENT DETAILS'!A495</f>
        <v>0</v>
      </c>
      <c r="B498" s="66">
        <f>'STUDENT DETAILS'!B495</f>
        <v>0</v>
      </c>
      <c r="C498" s="66">
        <f>'STUDENT DETAILS'!C495</f>
        <v>0</v>
      </c>
      <c r="D498" s="66">
        <f>'STUDENT DETAILS'!D495</f>
        <v>0</v>
      </c>
      <c r="E498" s="94">
        <f>'STUDENT DETAILS'!E495</f>
        <v>0</v>
      </c>
      <c r="F498" s="66" t="b">
        <f t="shared" si="28"/>
        <v>0</v>
      </c>
      <c r="G498" s="66"/>
      <c r="H498" s="66"/>
      <c r="I498" s="66"/>
      <c r="J498" s="66"/>
      <c r="K498" s="66">
        <f t="shared" si="29"/>
        <v>0</v>
      </c>
      <c r="L498" s="66">
        <f t="shared" si="30"/>
        <v>0</v>
      </c>
      <c r="M498" s="66" t="str">
        <f t="shared" si="31"/>
        <v>UNPAID</v>
      </c>
    </row>
    <row r="499" spans="1:13" x14ac:dyDescent="0.3">
      <c r="A499" s="66">
        <f>'STUDENT DETAILS'!A496</f>
        <v>0</v>
      </c>
      <c r="B499" s="66">
        <f>'STUDENT DETAILS'!B496</f>
        <v>0</v>
      </c>
      <c r="C499" s="66">
        <f>'STUDENT DETAILS'!C496</f>
        <v>0</v>
      </c>
      <c r="D499" s="66">
        <f>'STUDENT DETAILS'!D496</f>
        <v>0</v>
      </c>
      <c r="E499" s="94">
        <f>'STUDENT DETAILS'!E496</f>
        <v>0</v>
      </c>
      <c r="F499" s="66" t="b">
        <f t="shared" si="28"/>
        <v>0</v>
      </c>
      <c r="G499" s="66"/>
      <c r="H499" s="66"/>
      <c r="I499" s="66"/>
      <c r="J499" s="66"/>
      <c r="K499" s="66">
        <f t="shared" si="29"/>
        <v>0</v>
      </c>
      <c r="L499" s="66">
        <f t="shared" si="30"/>
        <v>0</v>
      </c>
      <c r="M499" s="66" t="str">
        <f t="shared" si="31"/>
        <v>UNPAID</v>
      </c>
    </row>
    <row r="500" spans="1:13" x14ac:dyDescent="0.3">
      <c r="A500" s="66">
        <f>'STUDENT DETAILS'!A497</f>
        <v>0</v>
      </c>
      <c r="B500" s="66">
        <f>'STUDENT DETAILS'!B497</f>
        <v>0</v>
      </c>
      <c r="C500" s="66">
        <f>'STUDENT DETAILS'!C497</f>
        <v>0</v>
      </c>
      <c r="D500" s="66">
        <f>'STUDENT DETAILS'!D497</f>
        <v>0</v>
      </c>
      <c r="E500" s="94">
        <f>'STUDENT DETAILS'!E497</f>
        <v>0</v>
      </c>
      <c r="F500" s="66" t="b">
        <f t="shared" si="28"/>
        <v>0</v>
      </c>
      <c r="G500" s="66"/>
      <c r="H500" s="66"/>
      <c r="I500" s="66"/>
      <c r="J500" s="66"/>
      <c r="K500" s="66">
        <f t="shared" si="29"/>
        <v>0</v>
      </c>
      <c r="L500" s="66">
        <f t="shared" si="30"/>
        <v>0</v>
      </c>
      <c r="M500" s="66" t="str">
        <f t="shared" si="31"/>
        <v>UNPAID</v>
      </c>
    </row>
    <row r="501" spans="1:13" x14ac:dyDescent="0.3">
      <c r="A501" s="66">
        <f>'STUDENT DETAILS'!A498</f>
        <v>0</v>
      </c>
      <c r="B501" s="66">
        <f>'STUDENT DETAILS'!B498</f>
        <v>0</v>
      </c>
      <c r="C501" s="66">
        <f>'STUDENT DETAILS'!C498</f>
        <v>0</v>
      </c>
      <c r="D501" s="66">
        <f>'STUDENT DETAILS'!D498</f>
        <v>0</v>
      </c>
      <c r="E501" s="94">
        <f>'STUDENT DETAILS'!E498</f>
        <v>0</v>
      </c>
      <c r="F501" s="66" t="b">
        <f t="shared" si="28"/>
        <v>0</v>
      </c>
      <c r="G501" s="66"/>
      <c r="H501" s="66"/>
      <c r="I501" s="66"/>
      <c r="J501" s="66"/>
      <c r="K501" s="66">
        <f t="shared" si="29"/>
        <v>0</v>
      </c>
      <c r="L501" s="66">
        <f t="shared" si="30"/>
        <v>0</v>
      </c>
      <c r="M501" s="66" t="str">
        <f t="shared" si="31"/>
        <v>UNPAID</v>
      </c>
    </row>
    <row r="502" spans="1:13" x14ac:dyDescent="0.3">
      <c r="A502" s="66">
        <f>'STUDENT DETAILS'!A499</f>
        <v>0</v>
      </c>
      <c r="B502" s="66">
        <f>'STUDENT DETAILS'!B499</f>
        <v>0</v>
      </c>
      <c r="C502" s="66">
        <f>'STUDENT DETAILS'!C499</f>
        <v>0</v>
      </c>
      <c r="D502" s="66">
        <f>'STUDENT DETAILS'!D499</f>
        <v>0</v>
      </c>
      <c r="E502" s="94">
        <f>'STUDENT DETAILS'!E499</f>
        <v>0</v>
      </c>
      <c r="F502" s="66" t="b">
        <f t="shared" si="28"/>
        <v>0</v>
      </c>
      <c r="G502" s="66"/>
      <c r="H502" s="66"/>
      <c r="I502" s="66"/>
      <c r="J502" s="66"/>
      <c r="K502" s="66">
        <f t="shared" si="29"/>
        <v>0</v>
      </c>
      <c r="L502" s="66">
        <f t="shared" si="30"/>
        <v>0</v>
      </c>
      <c r="M502" s="66" t="str">
        <f t="shared" si="31"/>
        <v>UNPAID</v>
      </c>
    </row>
    <row r="503" spans="1:13" x14ac:dyDescent="0.3">
      <c r="A503" s="66">
        <f>'STUDENT DETAILS'!A500</f>
        <v>0</v>
      </c>
      <c r="B503" s="66">
        <f>'STUDENT DETAILS'!B500</f>
        <v>0</v>
      </c>
      <c r="C503" s="66">
        <f>'STUDENT DETAILS'!C500</f>
        <v>0</v>
      </c>
      <c r="D503" s="66">
        <f>'STUDENT DETAILS'!D500</f>
        <v>0</v>
      </c>
      <c r="E503" s="94">
        <f>'STUDENT DETAILS'!E500</f>
        <v>0</v>
      </c>
      <c r="F503" s="66" t="b">
        <f t="shared" si="28"/>
        <v>0</v>
      </c>
      <c r="G503" s="66"/>
      <c r="H503" s="66"/>
      <c r="I503" s="66"/>
      <c r="J503" s="66"/>
      <c r="K503" s="66">
        <f t="shared" si="29"/>
        <v>0</v>
      </c>
      <c r="L503" s="66">
        <f t="shared" si="30"/>
        <v>0</v>
      </c>
      <c r="M503" s="66" t="str">
        <f t="shared" si="31"/>
        <v>UNPAID</v>
      </c>
    </row>
    <row r="504" spans="1:13" x14ac:dyDescent="0.3">
      <c r="A504" s="66">
        <f>'STUDENT DETAILS'!A501</f>
        <v>0</v>
      </c>
      <c r="B504" s="66">
        <f>'STUDENT DETAILS'!B501</f>
        <v>0</v>
      </c>
      <c r="C504" s="66">
        <f>'STUDENT DETAILS'!C501</f>
        <v>0</v>
      </c>
      <c r="D504" s="66">
        <f>'STUDENT DETAILS'!D501</f>
        <v>0</v>
      </c>
      <c r="E504" s="94">
        <f>'STUDENT DETAILS'!E501</f>
        <v>0</v>
      </c>
      <c r="F504" s="66" t="b">
        <f t="shared" si="28"/>
        <v>0</v>
      </c>
      <c r="G504" s="66"/>
      <c r="H504" s="66"/>
      <c r="I504" s="66"/>
      <c r="J504" s="66"/>
      <c r="K504" s="66">
        <f t="shared" si="29"/>
        <v>0</v>
      </c>
      <c r="L504" s="66">
        <f t="shared" si="30"/>
        <v>0</v>
      </c>
      <c r="M504" s="66" t="str">
        <f t="shared" si="31"/>
        <v>UNPAID</v>
      </c>
    </row>
    <row r="505" spans="1:13" x14ac:dyDescent="0.3">
      <c r="A505" s="66">
        <f>'STUDENT DETAILS'!A502</f>
        <v>0</v>
      </c>
      <c r="B505" s="66">
        <f>'STUDENT DETAILS'!B502</f>
        <v>0</v>
      </c>
      <c r="C505" s="66">
        <f>'STUDENT DETAILS'!C502</f>
        <v>0</v>
      </c>
      <c r="D505" s="66">
        <f>'STUDENT DETAILS'!D502</f>
        <v>0</v>
      </c>
      <c r="E505" s="94">
        <f>'STUDENT DETAILS'!E502</f>
        <v>0</v>
      </c>
      <c r="F505" s="66" t="b">
        <f t="shared" si="28"/>
        <v>0</v>
      </c>
      <c r="G505" s="66"/>
      <c r="H505" s="66"/>
      <c r="I505" s="66"/>
      <c r="J505" s="66"/>
      <c r="K505" s="66">
        <f t="shared" si="29"/>
        <v>0</v>
      </c>
      <c r="L505" s="66">
        <f t="shared" si="30"/>
        <v>0</v>
      </c>
      <c r="M505" s="66" t="str">
        <f t="shared" si="31"/>
        <v>UNPAID</v>
      </c>
    </row>
    <row r="506" spans="1:13" x14ac:dyDescent="0.3">
      <c r="A506" s="66">
        <f>'STUDENT DETAILS'!A503</f>
        <v>0</v>
      </c>
      <c r="B506" s="66">
        <f>'STUDENT DETAILS'!B503</f>
        <v>0</v>
      </c>
      <c r="C506" s="66">
        <f>'STUDENT DETAILS'!C503</f>
        <v>0</v>
      </c>
      <c r="D506" s="66">
        <f>'STUDENT DETAILS'!D503</f>
        <v>0</v>
      </c>
      <c r="E506" s="94">
        <f>'STUDENT DETAILS'!E503</f>
        <v>0</v>
      </c>
      <c r="F506" s="66" t="b">
        <f t="shared" si="28"/>
        <v>0</v>
      </c>
      <c r="G506" s="66"/>
      <c r="H506" s="66"/>
      <c r="I506" s="66"/>
      <c r="J506" s="66"/>
      <c r="K506" s="66">
        <f t="shared" si="29"/>
        <v>0</v>
      </c>
      <c r="L506" s="66">
        <f t="shared" si="30"/>
        <v>0</v>
      </c>
      <c r="M506" s="66" t="str">
        <f t="shared" si="31"/>
        <v>UNPAID</v>
      </c>
    </row>
    <row r="507" spans="1:13" x14ac:dyDescent="0.3">
      <c r="A507" s="66">
        <f>'STUDENT DETAILS'!A504</f>
        <v>0</v>
      </c>
      <c r="B507" s="66">
        <f>'STUDENT DETAILS'!B504</f>
        <v>0</v>
      </c>
      <c r="C507" s="66">
        <f>'STUDENT DETAILS'!C504</f>
        <v>0</v>
      </c>
      <c r="D507" s="66">
        <f>'STUDENT DETAILS'!D504</f>
        <v>0</v>
      </c>
      <c r="E507" s="94">
        <f>'STUDENT DETAILS'!E504</f>
        <v>0</v>
      </c>
      <c r="F507" s="66" t="b">
        <f t="shared" si="28"/>
        <v>0</v>
      </c>
      <c r="G507" s="66"/>
      <c r="H507" s="66"/>
      <c r="I507" s="66"/>
      <c r="J507" s="66"/>
      <c r="K507" s="66">
        <f t="shared" si="29"/>
        <v>0</v>
      </c>
      <c r="L507" s="66">
        <f t="shared" si="30"/>
        <v>0</v>
      </c>
      <c r="M507" s="66" t="str">
        <f t="shared" si="31"/>
        <v>UNPAID</v>
      </c>
    </row>
    <row r="508" spans="1:13" x14ac:dyDescent="0.3">
      <c r="A508" s="66">
        <f>'STUDENT DETAILS'!A505</f>
        <v>0</v>
      </c>
      <c r="B508" s="66">
        <f>'STUDENT DETAILS'!B505</f>
        <v>0</v>
      </c>
      <c r="C508" s="66">
        <f>'STUDENT DETAILS'!C505</f>
        <v>0</v>
      </c>
      <c r="D508" s="66">
        <f>'STUDENT DETAILS'!D505</f>
        <v>0</v>
      </c>
      <c r="E508" s="94">
        <f>'STUDENT DETAILS'!E505</f>
        <v>0</v>
      </c>
      <c r="F508" s="66" t="b">
        <f t="shared" si="28"/>
        <v>0</v>
      </c>
      <c r="G508" s="66"/>
      <c r="H508" s="66"/>
      <c r="I508" s="66"/>
      <c r="J508" s="66"/>
      <c r="K508" s="66">
        <f t="shared" si="29"/>
        <v>0</v>
      </c>
      <c r="L508" s="66">
        <f t="shared" si="30"/>
        <v>0</v>
      </c>
      <c r="M508" s="66" t="str">
        <f t="shared" si="31"/>
        <v>UNPAID</v>
      </c>
    </row>
    <row r="509" spans="1:13" x14ac:dyDescent="0.3">
      <c r="A509" s="66">
        <f>'STUDENT DETAILS'!A506</f>
        <v>0</v>
      </c>
      <c r="B509" s="66">
        <f>'STUDENT DETAILS'!B506</f>
        <v>0</v>
      </c>
      <c r="C509" s="66">
        <f>'STUDENT DETAILS'!C506</f>
        <v>0</v>
      </c>
      <c r="D509" s="66">
        <f>'STUDENT DETAILS'!D506</f>
        <v>0</v>
      </c>
      <c r="E509" s="94">
        <f>'STUDENT DETAILS'!E506</f>
        <v>0</v>
      </c>
      <c r="F509" s="66" t="b">
        <f t="shared" si="28"/>
        <v>0</v>
      </c>
      <c r="G509" s="66"/>
      <c r="H509" s="66"/>
      <c r="I509" s="66"/>
      <c r="J509" s="66"/>
      <c r="K509" s="66">
        <f t="shared" si="29"/>
        <v>0</v>
      </c>
      <c r="L509" s="66">
        <f t="shared" si="30"/>
        <v>0</v>
      </c>
      <c r="M509" s="66" t="str">
        <f t="shared" si="31"/>
        <v>UNPAID</v>
      </c>
    </row>
    <row r="510" spans="1:13" x14ac:dyDescent="0.3">
      <c r="A510" s="66">
        <f>'STUDENT DETAILS'!A507</f>
        <v>0</v>
      </c>
      <c r="B510" s="66">
        <f>'STUDENT DETAILS'!B507</f>
        <v>0</v>
      </c>
      <c r="C510" s="66">
        <f>'STUDENT DETAILS'!C507</f>
        <v>0</v>
      </c>
      <c r="D510" s="66">
        <f>'STUDENT DETAILS'!D507</f>
        <v>0</v>
      </c>
      <c r="E510" s="94">
        <f>'STUDENT DETAILS'!E507</f>
        <v>0</v>
      </c>
      <c r="F510" s="66" t="b">
        <f t="shared" si="28"/>
        <v>0</v>
      </c>
      <c r="G510" s="66"/>
      <c r="H510" s="66"/>
      <c r="I510" s="66"/>
      <c r="J510" s="66"/>
      <c r="K510" s="66">
        <f t="shared" si="29"/>
        <v>0</v>
      </c>
      <c r="L510" s="66">
        <f t="shared" si="30"/>
        <v>0</v>
      </c>
      <c r="M510" s="66" t="str">
        <f t="shared" si="31"/>
        <v>UNPAID</v>
      </c>
    </row>
    <row r="511" spans="1:13" x14ac:dyDescent="0.3">
      <c r="A511" s="66">
        <f>'STUDENT DETAILS'!A508</f>
        <v>0</v>
      </c>
      <c r="B511" s="66">
        <f>'STUDENT DETAILS'!B508</f>
        <v>0</v>
      </c>
      <c r="C511" s="66">
        <f>'STUDENT DETAILS'!C508</f>
        <v>0</v>
      </c>
      <c r="D511" s="66">
        <f>'STUDENT DETAILS'!D508</f>
        <v>0</v>
      </c>
      <c r="E511" s="94">
        <f>'STUDENT DETAILS'!E508</f>
        <v>0</v>
      </c>
      <c r="F511" s="66" t="b">
        <f t="shared" si="28"/>
        <v>0</v>
      </c>
      <c r="G511" s="66"/>
      <c r="H511" s="66"/>
      <c r="I511" s="66"/>
      <c r="J511" s="66"/>
      <c r="K511" s="66">
        <f t="shared" si="29"/>
        <v>0</v>
      </c>
      <c r="L511" s="66">
        <f t="shared" si="30"/>
        <v>0</v>
      </c>
      <c r="M511" s="66" t="str">
        <f t="shared" si="31"/>
        <v>UNPAID</v>
      </c>
    </row>
    <row r="512" spans="1:13" x14ac:dyDescent="0.3">
      <c r="A512" s="66">
        <f>'STUDENT DETAILS'!A509</f>
        <v>0</v>
      </c>
      <c r="B512" s="66">
        <f>'STUDENT DETAILS'!B509</f>
        <v>0</v>
      </c>
      <c r="C512" s="66">
        <f>'STUDENT DETAILS'!C509</f>
        <v>0</v>
      </c>
      <c r="D512" s="66">
        <f>'STUDENT DETAILS'!D509</f>
        <v>0</v>
      </c>
      <c r="E512" s="94">
        <f>'STUDENT DETAILS'!E509</f>
        <v>0</v>
      </c>
      <c r="F512" s="66" t="b">
        <f t="shared" si="28"/>
        <v>0</v>
      </c>
      <c r="G512" s="66"/>
      <c r="H512" s="66"/>
      <c r="I512" s="66"/>
      <c r="J512" s="66"/>
      <c r="K512" s="66">
        <f t="shared" si="29"/>
        <v>0</v>
      </c>
      <c r="L512" s="66">
        <f t="shared" si="30"/>
        <v>0</v>
      </c>
      <c r="M512" s="66" t="str">
        <f t="shared" si="31"/>
        <v>UNPAID</v>
      </c>
    </row>
    <row r="513" spans="1:13" x14ac:dyDescent="0.3">
      <c r="A513" s="66">
        <f>'STUDENT DETAILS'!A510</f>
        <v>0</v>
      </c>
      <c r="B513" s="66">
        <f>'STUDENT DETAILS'!B510</f>
        <v>0</v>
      </c>
      <c r="C513" s="66">
        <f>'STUDENT DETAILS'!C510</f>
        <v>0</v>
      </c>
      <c r="D513" s="66">
        <f>'STUDENT DETAILS'!D510</f>
        <v>0</v>
      </c>
      <c r="E513" s="94">
        <f>'STUDENT DETAILS'!E510</f>
        <v>0</v>
      </c>
      <c r="F513" s="66" t="b">
        <f t="shared" si="28"/>
        <v>0</v>
      </c>
      <c r="G513" s="66"/>
      <c r="H513" s="66"/>
      <c r="I513" s="66"/>
      <c r="J513" s="66"/>
      <c r="K513" s="66">
        <f t="shared" si="29"/>
        <v>0</v>
      </c>
      <c r="L513" s="66">
        <f t="shared" si="30"/>
        <v>0</v>
      </c>
      <c r="M513" s="66" t="str">
        <f t="shared" si="31"/>
        <v>UNPAID</v>
      </c>
    </row>
    <row r="514" spans="1:13" x14ac:dyDescent="0.3">
      <c r="A514" s="66">
        <f>'STUDENT DETAILS'!A511</f>
        <v>0</v>
      </c>
      <c r="B514" s="66">
        <f>'STUDENT DETAILS'!B511</f>
        <v>0</v>
      </c>
      <c r="C514" s="66">
        <f>'STUDENT DETAILS'!C511</f>
        <v>0</v>
      </c>
      <c r="D514" s="66">
        <f>'STUDENT DETAILS'!D511</f>
        <v>0</v>
      </c>
      <c r="E514" s="94">
        <f>'STUDENT DETAILS'!E511</f>
        <v>0</v>
      </c>
      <c r="F514" s="66" t="b">
        <f t="shared" si="28"/>
        <v>0</v>
      </c>
      <c r="G514" s="66"/>
      <c r="H514" s="66"/>
      <c r="I514" s="66"/>
      <c r="J514" s="66"/>
      <c r="K514" s="66">
        <f t="shared" si="29"/>
        <v>0</v>
      </c>
      <c r="L514" s="66">
        <f t="shared" si="30"/>
        <v>0</v>
      </c>
      <c r="M514" s="66" t="str">
        <f t="shared" si="31"/>
        <v>UNPAID</v>
      </c>
    </row>
    <row r="515" spans="1:13" x14ac:dyDescent="0.3">
      <c r="A515" s="66">
        <f>'STUDENT DETAILS'!A512</f>
        <v>0</v>
      </c>
      <c r="B515" s="66">
        <f>'STUDENT DETAILS'!B512</f>
        <v>0</v>
      </c>
      <c r="C515" s="66">
        <f>'STUDENT DETAILS'!C512</f>
        <v>0</v>
      </c>
      <c r="D515" s="66">
        <f>'STUDENT DETAILS'!D512</f>
        <v>0</v>
      </c>
      <c r="E515" s="94">
        <f>'STUDENT DETAILS'!E512</f>
        <v>0</v>
      </c>
      <c r="F515" s="66" t="b">
        <f t="shared" si="28"/>
        <v>0</v>
      </c>
      <c r="G515" s="66"/>
      <c r="H515" s="66"/>
      <c r="I515" s="66"/>
      <c r="J515" s="66"/>
      <c r="K515" s="66">
        <f t="shared" si="29"/>
        <v>0</v>
      </c>
      <c r="L515" s="66">
        <f t="shared" si="30"/>
        <v>0</v>
      </c>
      <c r="M515" s="66" t="str">
        <f t="shared" si="31"/>
        <v>UNPAID</v>
      </c>
    </row>
    <row r="516" spans="1:13" x14ac:dyDescent="0.3">
      <c r="A516" s="66">
        <f>'STUDENT DETAILS'!A513</f>
        <v>0</v>
      </c>
      <c r="B516" s="66">
        <f>'STUDENT DETAILS'!B513</f>
        <v>0</v>
      </c>
      <c r="C516" s="66">
        <f>'STUDENT DETAILS'!C513</f>
        <v>0</v>
      </c>
      <c r="D516" s="66">
        <f>'STUDENT DETAILS'!D513</f>
        <v>0</v>
      </c>
      <c r="E516" s="94">
        <f>'STUDENT DETAILS'!E513</f>
        <v>0</v>
      </c>
      <c r="F516" s="66" t="b">
        <f t="shared" si="28"/>
        <v>0</v>
      </c>
      <c r="G516" s="66"/>
      <c r="H516" s="66"/>
      <c r="I516" s="66"/>
      <c r="J516" s="66"/>
      <c r="K516" s="66">
        <f t="shared" si="29"/>
        <v>0</v>
      </c>
      <c r="L516" s="66">
        <f t="shared" si="30"/>
        <v>0</v>
      </c>
      <c r="M516" s="66" t="str">
        <f t="shared" si="31"/>
        <v>UNPAID</v>
      </c>
    </row>
    <row r="517" spans="1:13" x14ac:dyDescent="0.3">
      <c r="A517" s="66">
        <f>'STUDENT DETAILS'!A514</f>
        <v>0</v>
      </c>
      <c r="B517" s="66">
        <f>'STUDENT DETAILS'!B514</f>
        <v>0</v>
      </c>
      <c r="C517" s="66">
        <f>'STUDENT DETAILS'!C514</f>
        <v>0</v>
      </c>
      <c r="D517" s="66">
        <f>'STUDENT DETAILS'!D514</f>
        <v>0</v>
      </c>
      <c r="E517" s="94">
        <f>'STUDENT DETAILS'!E514</f>
        <v>0</v>
      </c>
      <c r="F517" s="66" t="b">
        <f t="shared" si="28"/>
        <v>0</v>
      </c>
      <c r="G517" s="66"/>
      <c r="H517" s="66"/>
      <c r="I517" s="66"/>
      <c r="J517" s="66"/>
      <c r="K517" s="66">
        <f t="shared" si="29"/>
        <v>0</v>
      </c>
      <c r="L517" s="66">
        <f t="shared" si="30"/>
        <v>0</v>
      </c>
      <c r="M517" s="66" t="str">
        <f t="shared" si="31"/>
        <v>UNPAID</v>
      </c>
    </row>
    <row r="518" spans="1:13" x14ac:dyDescent="0.3">
      <c r="A518" s="66">
        <f>'STUDENT DETAILS'!A515</f>
        <v>0</v>
      </c>
      <c r="B518" s="66">
        <f>'STUDENT DETAILS'!B515</f>
        <v>0</v>
      </c>
      <c r="C518" s="66">
        <f>'STUDENT DETAILS'!C515</f>
        <v>0</v>
      </c>
      <c r="D518" s="66">
        <f>'STUDENT DETAILS'!D515</f>
        <v>0</v>
      </c>
      <c r="E518" s="94">
        <f>'STUDENT DETAILS'!E515</f>
        <v>0</v>
      </c>
      <c r="F518" s="66" t="b">
        <f t="shared" si="28"/>
        <v>0</v>
      </c>
      <c r="G518" s="66"/>
      <c r="H518" s="66"/>
      <c r="I518" s="66"/>
      <c r="J518" s="66"/>
      <c r="K518" s="66">
        <f t="shared" si="29"/>
        <v>0</v>
      </c>
      <c r="L518" s="66">
        <f t="shared" si="30"/>
        <v>0</v>
      </c>
      <c r="M518" s="66" t="str">
        <f t="shared" si="31"/>
        <v>UNPAID</v>
      </c>
    </row>
    <row r="519" spans="1:13" x14ac:dyDescent="0.3">
      <c r="A519" s="66">
        <f>'STUDENT DETAILS'!A516</f>
        <v>0</v>
      </c>
      <c r="B519" s="66">
        <f>'STUDENT DETAILS'!B516</f>
        <v>0</v>
      </c>
      <c r="C519" s="66">
        <f>'STUDENT DETAILS'!C516</f>
        <v>0</v>
      </c>
      <c r="D519" s="66">
        <f>'STUDENT DETAILS'!D516</f>
        <v>0</v>
      </c>
      <c r="E519" s="94">
        <f>'STUDENT DETAILS'!E516</f>
        <v>0</v>
      </c>
      <c r="F519" s="66" t="b">
        <f t="shared" ref="F519:F582" si="32">IF(C519="LKG",2000,IF(C519="HKG",3000,IF(C519="1st",4000,IF(C519="2nd",5000,IF(C519="3rd",6000,IF(C519="4th",7000,IF(C519="5th",8000,IF(C519="6th",9000,IF(C519="7th",10000,IF(C519="8th",10500,IF(C519="9th",10700,IF(C519="10th",11000,IF(C519="",0)))))))))))))</f>
        <v>0</v>
      </c>
      <c r="G519" s="66"/>
      <c r="H519" s="66"/>
      <c r="I519" s="66"/>
      <c r="J519" s="66"/>
      <c r="K519" s="66">
        <f t="shared" ref="K519:K582" si="33">SUM(G519:J519)</f>
        <v>0</v>
      </c>
      <c r="L519" s="66">
        <f t="shared" ref="L519:L582" si="34">F519-K519</f>
        <v>0</v>
      </c>
      <c r="M519" s="66" t="str">
        <f t="shared" ref="M519:M582" si="35">IF(K519&gt;=F519,"COMPLETED","UNPAID")</f>
        <v>UNPAID</v>
      </c>
    </row>
    <row r="520" spans="1:13" x14ac:dyDescent="0.3">
      <c r="A520" s="66">
        <f>'STUDENT DETAILS'!A517</f>
        <v>0</v>
      </c>
      <c r="B520" s="66">
        <f>'STUDENT DETAILS'!B517</f>
        <v>0</v>
      </c>
      <c r="C520" s="66">
        <f>'STUDENT DETAILS'!C517</f>
        <v>0</v>
      </c>
      <c r="D520" s="66">
        <f>'STUDENT DETAILS'!D517</f>
        <v>0</v>
      </c>
      <c r="E520" s="94">
        <f>'STUDENT DETAILS'!E517</f>
        <v>0</v>
      </c>
      <c r="F520" s="66" t="b">
        <f t="shared" si="32"/>
        <v>0</v>
      </c>
      <c r="G520" s="66"/>
      <c r="H520" s="66"/>
      <c r="I520" s="66"/>
      <c r="J520" s="66"/>
      <c r="K520" s="66">
        <f t="shared" si="33"/>
        <v>0</v>
      </c>
      <c r="L520" s="66">
        <f t="shared" si="34"/>
        <v>0</v>
      </c>
      <c r="M520" s="66" t="str">
        <f t="shared" si="35"/>
        <v>UNPAID</v>
      </c>
    </row>
    <row r="521" spans="1:13" x14ac:dyDescent="0.3">
      <c r="A521" s="66">
        <f>'STUDENT DETAILS'!A518</f>
        <v>0</v>
      </c>
      <c r="B521" s="66">
        <f>'STUDENT DETAILS'!B518</f>
        <v>0</v>
      </c>
      <c r="C521" s="66">
        <f>'STUDENT DETAILS'!C518</f>
        <v>0</v>
      </c>
      <c r="D521" s="66">
        <f>'STUDENT DETAILS'!D518</f>
        <v>0</v>
      </c>
      <c r="E521" s="94">
        <f>'STUDENT DETAILS'!E518</f>
        <v>0</v>
      </c>
      <c r="F521" s="66" t="b">
        <f t="shared" si="32"/>
        <v>0</v>
      </c>
      <c r="G521" s="66"/>
      <c r="H521" s="66"/>
      <c r="I521" s="66"/>
      <c r="J521" s="66"/>
      <c r="K521" s="66">
        <f t="shared" si="33"/>
        <v>0</v>
      </c>
      <c r="L521" s="66">
        <f t="shared" si="34"/>
        <v>0</v>
      </c>
      <c r="M521" s="66" t="str">
        <f t="shared" si="35"/>
        <v>UNPAID</v>
      </c>
    </row>
    <row r="522" spans="1:13" x14ac:dyDescent="0.3">
      <c r="A522" s="66">
        <f>'STUDENT DETAILS'!A519</f>
        <v>0</v>
      </c>
      <c r="B522" s="66">
        <f>'STUDENT DETAILS'!B519</f>
        <v>0</v>
      </c>
      <c r="C522" s="66">
        <f>'STUDENT DETAILS'!C519</f>
        <v>0</v>
      </c>
      <c r="D522" s="66">
        <f>'STUDENT DETAILS'!D519</f>
        <v>0</v>
      </c>
      <c r="E522" s="94">
        <f>'STUDENT DETAILS'!E519</f>
        <v>0</v>
      </c>
      <c r="F522" s="66" t="b">
        <f t="shared" si="32"/>
        <v>0</v>
      </c>
      <c r="G522" s="66"/>
      <c r="H522" s="66"/>
      <c r="I522" s="66"/>
      <c r="J522" s="66"/>
      <c r="K522" s="66">
        <f t="shared" si="33"/>
        <v>0</v>
      </c>
      <c r="L522" s="66">
        <f t="shared" si="34"/>
        <v>0</v>
      </c>
      <c r="M522" s="66" t="str">
        <f t="shared" si="35"/>
        <v>UNPAID</v>
      </c>
    </row>
    <row r="523" spans="1:13" x14ac:dyDescent="0.3">
      <c r="A523" s="66">
        <f>'STUDENT DETAILS'!A520</f>
        <v>0</v>
      </c>
      <c r="B523" s="66">
        <f>'STUDENT DETAILS'!B520</f>
        <v>0</v>
      </c>
      <c r="C523" s="66">
        <f>'STUDENT DETAILS'!C520</f>
        <v>0</v>
      </c>
      <c r="D523" s="66">
        <f>'STUDENT DETAILS'!D520</f>
        <v>0</v>
      </c>
      <c r="E523" s="94">
        <f>'STUDENT DETAILS'!E520</f>
        <v>0</v>
      </c>
      <c r="F523" s="66" t="b">
        <f t="shared" si="32"/>
        <v>0</v>
      </c>
      <c r="G523" s="66"/>
      <c r="H523" s="66"/>
      <c r="I523" s="66"/>
      <c r="J523" s="66"/>
      <c r="K523" s="66">
        <f t="shared" si="33"/>
        <v>0</v>
      </c>
      <c r="L523" s="66">
        <f t="shared" si="34"/>
        <v>0</v>
      </c>
      <c r="M523" s="66" t="str">
        <f t="shared" si="35"/>
        <v>UNPAID</v>
      </c>
    </row>
    <row r="524" spans="1:13" x14ac:dyDescent="0.3">
      <c r="A524" s="66">
        <f>'STUDENT DETAILS'!A521</f>
        <v>0</v>
      </c>
      <c r="B524" s="66">
        <f>'STUDENT DETAILS'!B521</f>
        <v>0</v>
      </c>
      <c r="C524" s="66">
        <f>'STUDENT DETAILS'!C521</f>
        <v>0</v>
      </c>
      <c r="D524" s="66">
        <f>'STUDENT DETAILS'!D521</f>
        <v>0</v>
      </c>
      <c r="E524" s="94">
        <f>'STUDENT DETAILS'!E521</f>
        <v>0</v>
      </c>
      <c r="F524" s="66" t="b">
        <f t="shared" si="32"/>
        <v>0</v>
      </c>
      <c r="G524" s="66"/>
      <c r="H524" s="66"/>
      <c r="I524" s="66"/>
      <c r="J524" s="66"/>
      <c r="K524" s="66">
        <f t="shared" si="33"/>
        <v>0</v>
      </c>
      <c r="L524" s="66">
        <f t="shared" si="34"/>
        <v>0</v>
      </c>
      <c r="M524" s="66" t="str">
        <f t="shared" si="35"/>
        <v>UNPAID</v>
      </c>
    </row>
    <row r="525" spans="1:13" x14ac:dyDescent="0.3">
      <c r="A525" s="66">
        <f>'STUDENT DETAILS'!A522</f>
        <v>0</v>
      </c>
      <c r="B525" s="66">
        <f>'STUDENT DETAILS'!B522</f>
        <v>0</v>
      </c>
      <c r="C525" s="66">
        <f>'STUDENT DETAILS'!C522</f>
        <v>0</v>
      </c>
      <c r="D525" s="66">
        <f>'STUDENT DETAILS'!D522</f>
        <v>0</v>
      </c>
      <c r="E525" s="94">
        <f>'STUDENT DETAILS'!E522</f>
        <v>0</v>
      </c>
      <c r="F525" s="66" t="b">
        <f t="shared" si="32"/>
        <v>0</v>
      </c>
      <c r="G525" s="66"/>
      <c r="H525" s="66"/>
      <c r="I525" s="66"/>
      <c r="J525" s="66"/>
      <c r="K525" s="66">
        <f t="shared" si="33"/>
        <v>0</v>
      </c>
      <c r="L525" s="66">
        <f t="shared" si="34"/>
        <v>0</v>
      </c>
      <c r="M525" s="66" t="str">
        <f t="shared" si="35"/>
        <v>UNPAID</v>
      </c>
    </row>
    <row r="526" spans="1:13" x14ac:dyDescent="0.3">
      <c r="A526" s="66">
        <f>'STUDENT DETAILS'!A523</f>
        <v>0</v>
      </c>
      <c r="B526" s="66">
        <f>'STUDENT DETAILS'!B523</f>
        <v>0</v>
      </c>
      <c r="C526" s="66">
        <f>'STUDENT DETAILS'!C523</f>
        <v>0</v>
      </c>
      <c r="D526" s="66">
        <f>'STUDENT DETAILS'!D523</f>
        <v>0</v>
      </c>
      <c r="E526" s="94">
        <f>'STUDENT DETAILS'!E523</f>
        <v>0</v>
      </c>
      <c r="F526" s="66" t="b">
        <f t="shared" si="32"/>
        <v>0</v>
      </c>
      <c r="G526" s="66"/>
      <c r="H526" s="66"/>
      <c r="I526" s="66"/>
      <c r="J526" s="66"/>
      <c r="K526" s="66">
        <f t="shared" si="33"/>
        <v>0</v>
      </c>
      <c r="L526" s="66">
        <f t="shared" si="34"/>
        <v>0</v>
      </c>
      <c r="M526" s="66" t="str">
        <f t="shared" si="35"/>
        <v>UNPAID</v>
      </c>
    </row>
    <row r="527" spans="1:13" x14ac:dyDescent="0.3">
      <c r="A527" s="66">
        <f>'STUDENT DETAILS'!A524</f>
        <v>0</v>
      </c>
      <c r="B527" s="66">
        <f>'STUDENT DETAILS'!B524</f>
        <v>0</v>
      </c>
      <c r="C527" s="66">
        <f>'STUDENT DETAILS'!C524</f>
        <v>0</v>
      </c>
      <c r="D527" s="66">
        <f>'STUDENT DETAILS'!D524</f>
        <v>0</v>
      </c>
      <c r="E527" s="94">
        <f>'STUDENT DETAILS'!E524</f>
        <v>0</v>
      </c>
      <c r="F527" s="66" t="b">
        <f t="shared" si="32"/>
        <v>0</v>
      </c>
      <c r="G527" s="66"/>
      <c r="H527" s="66"/>
      <c r="I527" s="66"/>
      <c r="J527" s="66"/>
      <c r="K527" s="66">
        <f t="shared" si="33"/>
        <v>0</v>
      </c>
      <c r="L527" s="66">
        <f t="shared" si="34"/>
        <v>0</v>
      </c>
      <c r="M527" s="66" t="str">
        <f t="shared" si="35"/>
        <v>UNPAID</v>
      </c>
    </row>
    <row r="528" spans="1:13" x14ac:dyDescent="0.3">
      <c r="A528" s="66">
        <f>'STUDENT DETAILS'!A525</f>
        <v>0</v>
      </c>
      <c r="B528" s="66">
        <f>'STUDENT DETAILS'!B525</f>
        <v>0</v>
      </c>
      <c r="C528" s="66">
        <f>'STUDENT DETAILS'!C525</f>
        <v>0</v>
      </c>
      <c r="D528" s="66">
        <f>'STUDENT DETAILS'!D525</f>
        <v>0</v>
      </c>
      <c r="E528" s="94">
        <f>'STUDENT DETAILS'!E525</f>
        <v>0</v>
      </c>
      <c r="F528" s="66" t="b">
        <f t="shared" si="32"/>
        <v>0</v>
      </c>
      <c r="G528" s="66"/>
      <c r="H528" s="66"/>
      <c r="I528" s="66"/>
      <c r="J528" s="66"/>
      <c r="K528" s="66">
        <f t="shared" si="33"/>
        <v>0</v>
      </c>
      <c r="L528" s="66">
        <f t="shared" si="34"/>
        <v>0</v>
      </c>
      <c r="M528" s="66" t="str">
        <f t="shared" si="35"/>
        <v>UNPAID</v>
      </c>
    </row>
    <row r="529" spans="1:13" x14ac:dyDescent="0.3">
      <c r="A529" s="66">
        <f>'STUDENT DETAILS'!A526</f>
        <v>0</v>
      </c>
      <c r="B529" s="66">
        <f>'STUDENT DETAILS'!B526</f>
        <v>0</v>
      </c>
      <c r="C529" s="66">
        <f>'STUDENT DETAILS'!C526</f>
        <v>0</v>
      </c>
      <c r="D529" s="66">
        <f>'STUDENT DETAILS'!D526</f>
        <v>0</v>
      </c>
      <c r="E529" s="94">
        <f>'STUDENT DETAILS'!E526</f>
        <v>0</v>
      </c>
      <c r="F529" s="66" t="b">
        <f t="shared" si="32"/>
        <v>0</v>
      </c>
      <c r="G529" s="66"/>
      <c r="H529" s="66"/>
      <c r="I529" s="66"/>
      <c r="J529" s="66"/>
      <c r="K529" s="66">
        <f t="shared" si="33"/>
        <v>0</v>
      </c>
      <c r="L529" s="66">
        <f t="shared" si="34"/>
        <v>0</v>
      </c>
      <c r="M529" s="66" t="str">
        <f t="shared" si="35"/>
        <v>UNPAID</v>
      </c>
    </row>
    <row r="530" spans="1:13" x14ac:dyDescent="0.3">
      <c r="A530" s="66">
        <f>'STUDENT DETAILS'!A527</f>
        <v>0</v>
      </c>
      <c r="B530" s="66">
        <f>'STUDENT DETAILS'!B527</f>
        <v>0</v>
      </c>
      <c r="C530" s="66">
        <f>'STUDENT DETAILS'!C527</f>
        <v>0</v>
      </c>
      <c r="D530" s="66">
        <f>'STUDENT DETAILS'!D527</f>
        <v>0</v>
      </c>
      <c r="E530" s="94">
        <f>'STUDENT DETAILS'!E527</f>
        <v>0</v>
      </c>
      <c r="F530" s="66" t="b">
        <f t="shared" si="32"/>
        <v>0</v>
      </c>
      <c r="G530" s="66"/>
      <c r="H530" s="66"/>
      <c r="I530" s="66"/>
      <c r="J530" s="66"/>
      <c r="K530" s="66">
        <f t="shared" si="33"/>
        <v>0</v>
      </c>
      <c r="L530" s="66">
        <f t="shared" si="34"/>
        <v>0</v>
      </c>
      <c r="M530" s="66" t="str">
        <f t="shared" si="35"/>
        <v>UNPAID</v>
      </c>
    </row>
    <row r="531" spans="1:13" x14ac:dyDescent="0.3">
      <c r="A531" s="66">
        <f>'STUDENT DETAILS'!A528</f>
        <v>0</v>
      </c>
      <c r="B531" s="66">
        <f>'STUDENT DETAILS'!B528</f>
        <v>0</v>
      </c>
      <c r="C531" s="66">
        <f>'STUDENT DETAILS'!C528</f>
        <v>0</v>
      </c>
      <c r="D531" s="66">
        <f>'STUDENT DETAILS'!D528</f>
        <v>0</v>
      </c>
      <c r="E531" s="94">
        <f>'STUDENT DETAILS'!E528</f>
        <v>0</v>
      </c>
      <c r="F531" s="66" t="b">
        <f t="shared" si="32"/>
        <v>0</v>
      </c>
      <c r="G531" s="66"/>
      <c r="H531" s="66"/>
      <c r="I531" s="66"/>
      <c r="J531" s="66"/>
      <c r="K531" s="66">
        <f t="shared" si="33"/>
        <v>0</v>
      </c>
      <c r="L531" s="66">
        <f t="shared" si="34"/>
        <v>0</v>
      </c>
      <c r="M531" s="66" t="str">
        <f t="shared" si="35"/>
        <v>UNPAID</v>
      </c>
    </row>
    <row r="532" spans="1:13" x14ac:dyDescent="0.3">
      <c r="A532" s="66">
        <f>'STUDENT DETAILS'!A529</f>
        <v>0</v>
      </c>
      <c r="B532" s="66">
        <f>'STUDENT DETAILS'!B529</f>
        <v>0</v>
      </c>
      <c r="C532" s="66">
        <f>'STUDENT DETAILS'!C529</f>
        <v>0</v>
      </c>
      <c r="D532" s="66">
        <f>'STUDENT DETAILS'!D529</f>
        <v>0</v>
      </c>
      <c r="E532" s="94">
        <f>'STUDENT DETAILS'!E529</f>
        <v>0</v>
      </c>
      <c r="F532" s="66" t="b">
        <f t="shared" si="32"/>
        <v>0</v>
      </c>
      <c r="G532" s="66"/>
      <c r="H532" s="66"/>
      <c r="I532" s="66"/>
      <c r="J532" s="66"/>
      <c r="K532" s="66">
        <f t="shared" si="33"/>
        <v>0</v>
      </c>
      <c r="L532" s="66">
        <f t="shared" si="34"/>
        <v>0</v>
      </c>
      <c r="M532" s="66" t="str">
        <f t="shared" si="35"/>
        <v>UNPAID</v>
      </c>
    </row>
    <row r="533" spans="1:13" x14ac:dyDescent="0.3">
      <c r="A533" s="66">
        <f>'STUDENT DETAILS'!A530</f>
        <v>0</v>
      </c>
      <c r="B533" s="66">
        <f>'STUDENT DETAILS'!B530</f>
        <v>0</v>
      </c>
      <c r="C533" s="66">
        <f>'STUDENT DETAILS'!C530</f>
        <v>0</v>
      </c>
      <c r="D533" s="66">
        <f>'STUDENT DETAILS'!D530</f>
        <v>0</v>
      </c>
      <c r="E533" s="94">
        <f>'STUDENT DETAILS'!E530</f>
        <v>0</v>
      </c>
      <c r="F533" s="66" t="b">
        <f t="shared" si="32"/>
        <v>0</v>
      </c>
      <c r="G533" s="66"/>
      <c r="H533" s="66"/>
      <c r="I533" s="66"/>
      <c r="J533" s="66"/>
      <c r="K533" s="66">
        <f t="shared" si="33"/>
        <v>0</v>
      </c>
      <c r="L533" s="66">
        <f t="shared" si="34"/>
        <v>0</v>
      </c>
      <c r="M533" s="66" t="str">
        <f t="shared" si="35"/>
        <v>UNPAID</v>
      </c>
    </row>
    <row r="534" spans="1:13" x14ac:dyDescent="0.3">
      <c r="A534" s="66">
        <f>'STUDENT DETAILS'!A531</f>
        <v>0</v>
      </c>
      <c r="B534" s="66">
        <f>'STUDENT DETAILS'!B531</f>
        <v>0</v>
      </c>
      <c r="C534" s="66">
        <f>'STUDENT DETAILS'!C531</f>
        <v>0</v>
      </c>
      <c r="D534" s="66">
        <f>'STUDENT DETAILS'!D531</f>
        <v>0</v>
      </c>
      <c r="E534" s="94">
        <f>'STUDENT DETAILS'!E531</f>
        <v>0</v>
      </c>
      <c r="F534" s="66" t="b">
        <f t="shared" si="32"/>
        <v>0</v>
      </c>
      <c r="G534" s="66"/>
      <c r="H534" s="66"/>
      <c r="I534" s="66"/>
      <c r="J534" s="66"/>
      <c r="K534" s="66">
        <f t="shared" si="33"/>
        <v>0</v>
      </c>
      <c r="L534" s="66">
        <f t="shared" si="34"/>
        <v>0</v>
      </c>
      <c r="M534" s="66" t="str">
        <f t="shared" si="35"/>
        <v>UNPAID</v>
      </c>
    </row>
    <row r="535" spans="1:13" x14ac:dyDescent="0.3">
      <c r="A535" s="66">
        <f>'STUDENT DETAILS'!A532</f>
        <v>0</v>
      </c>
      <c r="B535" s="66">
        <f>'STUDENT DETAILS'!B532</f>
        <v>0</v>
      </c>
      <c r="C535" s="66">
        <f>'STUDENT DETAILS'!C532</f>
        <v>0</v>
      </c>
      <c r="D535" s="66">
        <f>'STUDENT DETAILS'!D532</f>
        <v>0</v>
      </c>
      <c r="E535" s="94">
        <f>'STUDENT DETAILS'!E532</f>
        <v>0</v>
      </c>
      <c r="F535" s="66" t="b">
        <f t="shared" si="32"/>
        <v>0</v>
      </c>
      <c r="G535" s="66"/>
      <c r="H535" s="66"/>
      <c r="I535" s="66"/>
      <c r="J535" s="66"/>
      <c r="K535" s="66">
        <f t="shared" si="33"/>
        <v>0</v>
      </c>
      <c r="L535" s="66">
        <f t="shared" si="34"/>
        <v>0</v>
      </c>
      <c r="M535" s="66" t="str">
        <f t="shared" si="35"/>
        <v>UNPAID</v>
      </c>
    </row>
    <row r="536" spans="1:13" x14ac:dyDescent="0.3">
      <c r="A536" s="66">
        <f>'STUDENT DETAILS'!A533</f>
        <v>0</v>
      </c>
      <c r="B536" s="66">
        <f>'STUDENT DETAILS'!B533</f>
        <v>0</v>
      </c>
      <c r="C536" s="66">
        <f>'STUDENT DETAILS'!C533</f>
        <v>0</v>
      </c>
      <c r="D536" s="66">
        <f>'STUDENT DETAILS'!D533</f>
        <v>0</v>
      </c>
      <c r="E536" s="94">
        <f>'STUDENT DETAILS'!E533</f>
        <v>0</v>
      </c>
      <c r="F536" s="66" t="b">
        <f t="shared" si="32"/>
        <v>0</v>
      </c>
      <c r="G536" s="66"/>
      <c r="H536" s="66"/>
      <c r="I536" s="66"/>
      <c r="J536" s="66"/>
      <c r="K536" s="66">
        <f t="shared" si="33"/>
        <v>0</v>
      </c>
      <c r="L536" s="66">
        <f t="shared" si="34"/>
        <v>0</v>
      </c>
      <c r="M536" s="66" t="str">
        <f t="shared" si="35"/>
        <v>UNPAID</v>
      </c>
    </row>
    <row r="537" spans="1:13" x14ac:dyDescent="0.3">
      <c r="A537" s="66">
        <f>'STUDENT DETAILS'!A534</f>
        <v>0</v>
      </c>
      <c r="B537" s="66">
        <f>'STUDENT DETAILS'!B534</f>
        <v>0</v>
      </c>
      <c r="C537" s="66">
        <f>'STUDENT DETAILS'!C534</f>
        <v>0</v>
      </c>
      <c r="D537" s="66">
        <f>'STUDENT DETAILS'!D534</f>
        <v>0</v>
      </c>
      <c r="E537" s="94">
        <f>'STUDENT DETAILS'!E534</f>
        <v>0</v>
      </c>
      <c r="F537" s="66" t="b">
        <f t="shared" si="32"/>
        <v>0</v>
      </c>
      <c r="G537" s="66"/>
      <c r="H537" s="66"/>
      <c r="I537" s="66"/>
      <c r="J537" s="66"/>
      <c r="K537" s="66">
        <f t="shared" si="33"/>
        <v>0</v>
      </c>
      <c r="L537" s="66">
        <f t="shared" si="34"/>
        <v>0</v>
      </c>
      <c r="M537" s="66" t="str">
        <f t="shared" si="35"/>
        <v>UNPAID</v>
      </c>
    </row>
    <row r="538" spans="1:13" x14ac:dyDescent="0.3">
      <c r="A538" s="66">
        <f>'STUDENT DETAILS'!A535</f>
        <v>0</v>
      </c>
      <c r="B538" s="66">
        <f>'STUDENT DETAILS'!B535</f>
        <v>0</v>
      </c>
      <c r="C538" s="66">
        <f>'STUDENT DETAILS'!C535</f>
        <v>0</v>
      </c>
      <c r="D538" s="66">
        <f>'STUDENT DETAILS'!D535</f>
        <v>0</v>
      </c>
      <c r="E538" s="94">
        <f>'STUDENT DETAILS'!E535</f>
        <v>0</v>
      </c>
      <c r="F538" s="66" t="b">
        <f t="shared" si="32"/>
        <v>0</v>
      </c>
      <c r="G538" s="66"/>
      <c r="H538" s="66"/>
      <c r="I538" s="66"/>
      <c r="J538" s="66"/>
      <c r="K538" s="66">
        <f t="shared" si="33"/>
        <v>0</v>
      </c>
      <c r="L538" s="66">
        <f t="shared" si="34"/>
        <v>0</v>
      </c>
      <c r="M538" s="66" t="str">
        <f t="shared" si="35"/>
        <v>UNPAID</v>
      </c>
    </row>
    <row r="539" spans="1:13" x14ac:dyDescent="0.3">
      <c r="A539" s="66">
        <f>'STUDENT DETAILS'!A536</f>
        <v>0</v>
      </c>
      <c r="B539" s="66">
        <f>'STUDENT DETAILS'!B536</f>
        <v>0</v>
      </c>
      <c r="C539" s="66">
        <f>'STUDENT DETAILS'!C536</f>
        <v>0</v>
      </c>
      <c r="D539" s="66">
        <f>'STUDENT DETAILS'!D536</f>
        <v>0</v>
      </c>
      <c r="E539" s="94">
        <f>'STUDENT DETAILS'!E536</f>
        <v>0</v>
      </c>
      <c r="F539" s="66" t="b">
        <f t="shared" si="32"/>
        <v>0</v>
      </c>
      <c r="G539" s="66"/>
      <c r="H539" s="66"/>
      <c r="I539" s="66"/>
      <c r="J539" s="66"/>
      <c r="K539" s="66">
        <f t="shared" si="33"/>
        <v>0</v>
      </c>
      <c r="L539" s="66">
        <f t="shared" si="34"/>
        <v>0</v>
      </c>
      <c r="M539" s="66" t="str">
        <f t="shared" si="35"/>
        <v>UNPAID</v>
      </c>
    </row>
    <row r="540" spans="1:13" x14ac:dyDescent="0.3">
      <c r="A540" s="66">
        <f>'STUDENT DETAILS'!A537</f>
        <v>0</v>
      </c>
      <c r="B540" s="66">
        <f>'STUDENT DETAILS'!B537</f>
        <v>0</v>
      </c>
      <c r="C540" s="66">
        <f>'STUDENT DETAILS'!C537</f>
        <v>0</v>
      </c>
      <c r="D540" s="66">
        <f>'STUDENT DETAILS'!D537</f>
        <v>0</v>
      </c>
      <c r="E540" s="94">
        <f>'STUDENT DETAILS'!E537</f>
        <v>0</v>
      </c>
      <c r="F540" s="66" t="b">
        <f t="shared" si="32"/>
        <v>0</v>
      </c>
      <c r="G540" s="66"/>
      <c r="H540" s="66"/>
      <c r="I540" s="66"/>
      <c r="J540" s="66"/>
      <c r="K540" s="66">
        <f t="shared" si="33"/>
        <v>0</v>
      </c>
      <c r="L540" s="66">
        <f t="shared" si="34"/>
        <v>0</v>
      </c>
      <c r="M540" s="66" t="str">
        <f t="shared" si="35"/>
        <v>UNPAID</v>
      </c>
    </row>
    <row r="541" spans="1:13" x14ac:dyDescent="0.3">
      <c r="A541" s="66">
        <f>'STUDENT DETAILS'!A538</f>
        <v>0</v>
      </c>
      <c r="B541" s="66">
        <f>'STUDENT DETAILS'!B538</f>
        <v>0</v>
      </c>
      <c r="C541" s="66">
        <f>'STUDENT DETAILS'!C538</f>
        <v>0</v>
      </c>
      <c r="D541" s="66">
        <f>'STUDENT DETAILS'!D538</f>
        <v>0</v>
      </c>
      <c r="E541" s="94">
        <f>'STUDENT DETAILS'!E538</f>
        <v>0</v>
      </c>
      <c r="F541" s="66" t="b">
        <f t="shared" si="32"/>
        <v>0</v>
      </c>
      <c r="G541" s="66"/>
      <c r="H541" s="66"/>
      <c r="I541" s="66"/>
      <c r="J541" s="66"/>
      <c r="K541" s="66">
        <f t="shared" si="33"/>
        <v>0</v>
      </c>
      <c r="L541" s="66">
        <f t="shared" si="34"/>
        <v>0</v>
      </c>
      <c r="M541" s="66" t="str">
        <f t="shared" si="35"/>
        <v>UNPAID</v>
      </c>
    </row>
    <row r="542" spans="1:13" x14ac:dyDescent="0.3">
      <c r="A542" s="66">
        <f>'STUDENT DETAILS'!A539</f>
        <v>0</v>
      </c>
      <c r="B542" s="66">
        <f>'STUDENT DETAILS'!B539</f>
        <v>0</v>
      </c>
      <c r="C542" s="66">
        <f>'STUDENT DETAILS'!C539</f>
        <v>0</v>
      </c>
      <c r="D542" s="66">
        <f>'STUDENT DETAILS'!D539</f>
        <v>0</v>
      </c>
      <c r="E542" s="94">
        <f>'STUDENT DETAILS'!E539</f>
        <v>0</v>
      </c>
      <c r="F542" s="66" t="b">
        <f t="shared" si="32"/>
        <v>0</v>
      </c>
      <c r="G542" s="66"/>
      <c r="H542" s="66"/>
      <c r="I542" s="66"/>
      <c r="J542" s="66"/>
      <c r="K542" s="66">
        <f t="shared" si="33"/>
        <v>0</v>
      </c>
      <c r="L542" s="66">
        <f t="shared" si="34"/>
        <v>0</v>
      </c>
      <c r="M542" s="66" t="str">
        <f t="shared" si="35"/>
        <v>UNPAID</v>
      </c>
    </row>
    <row r="543" spans="1:13" x14ac:dyDescent="0.3">
      <c r="A543" s="66">
        <f>'STUDENT DETAILS'!A540</f>
        <v>0</v>
      </c>
      <c r="B543" s="66">
        <f>'STUDENT DETAILS'!B540</f>
        <v>0</v>
      </c>
      <c r="C543" s="66">
        <f>'STUDENT DETAILS'!C540</f>
        <v>0</v>
      </c>
      <c r="D543" s="66">
        <f>'STUDENT DETAILS'!D540</f>
        <v>0</v>
      </c>
      <c r="E543" s="94">
        <f>'STUDENT DETAILS'!E540</f>
        <v>0</v>
      </c>
      <c r="F543" s="66" t="b">
        <f t="shared" si="32"/>
        <v>0</v>
      </c>
      <c r="G543" s="66"/>
      <c r="H543" s="66"/>
      <c r="I543" s="66"/>
      <c r="J543" s="66"/>
      <c r="K543" s="66">
        <f t="shared" si="33"/>
        <v>0</v>
      </c>
      <c r="L543" s="66">
        <f t="shared" si="34"/>
        <v>0</v>
      </c>
      <c r="M543" s="66" t="str">
        <f t="shared" si="35"/>
        <v>UNPAID</v>
      </c>
    </row>
    <row r="544" spans="1:13" x14ac:dyDescent="0.3">
      <c r="A544" s="66">
        <f>'STUDENT DETAILS'!A541</f>
        <v>0</v>
      </c>
      <c r="B544" s="66">
        <f>'STUDENT DETAILS'!B541</f>
        <v>0</v>
      </c>
      <c r="C544" s="66">
        <f>'STUDENT DETAILS'!C541</f>
        <v>0</v>
      </c>
      <c r="D544" s="66">
        <f>'STUDENT DETAILS'!D541</f>
        <v>0</v>
      </c>
      <c r="E544" s="94">
        <f>'STUDENT DETAILS'!E541</f>
        <v>0</v>
      </c>
      <c r="F544" s="66" t="b">
        <f t="shared" si="32"/>
        <v>0</v>
      </c>
      <c r="G544" s="66"/>
      <c r="H544" s="66"/>
      <c r="I544" s="66"/>
      <c r="J544" s="66"/>
      <c r="K544" s="66">
        <f t="shared" si="33"/>
        <v>0</v>
      </c>
      <c r="L544" s="66">
        <f t="shared" si="34"/>
        <v>0</v>
      </c>
      <c r="M544" s="66" t="str">
        <f t="shared" si="35"/>
        <v>UNPAID</v>
      </c>
    </row>
    <row r="545" spans="1:13" x14ac:dyDescent="0.3">
      <c r="A545" s="66">
        <f>'STUDENT DETAILS'!A542</f>
        <v>0</v>
      </c>
      <c r="B545" s="66">
        <f>'STUDENT DETAILS'!B542</f>
        <v>0</v>
      </c>
      <c r="C545" s="66">
        <f>'STUDENT DETAILS'!C542</f>
        <v>0</v>
      </c>
      <c r="D545" s="66">
        <f>'STUDENT DETAILS'!D542</f>
        <v>0</v>
      </c>
      <c r="E545" s="94">
        <f>'STUDENT DETAILS'!E542</f>
        <v>0</v>
      </c>
      <c r="F545" s="66" t="b">
        <f t="shared" si="32"/>
        <v>0</v>
      </c>
      <c r="G545" s="66"/>
      <c r="H545" s="66"/>
      <c r="I545" s="66"/>
      <c r="J545" s="66"/>
      <c r="K545" s="66">
        <f t="shared" si="33"/>
        <v>0</v>
      </c>
      <c r="L545" s="66">
        <f t="shared" si="34"/>
        <v>0</v>
      </c>
      <c r="M545" s="66" t="str">
        <f t="shared" si="35"/>
        <v>UNPAID</v>
      </c>
    </row>
    <row r="546" spans="1:13" x14ac:dyDescent="0.3">
      <c r="A546" s="66">
        <f>'STUDENT DETAILS'!A543</f>
        <v>0</v>
      </c>
      <c r="B546" s="66">
        <f>'STUDENT DETAILS'!B543</f>
        <v>0</v>
      </c>
      <c r="C546" s="66">
        <f>'STUDENT DETAILS'!C543</f>
        <v>0</v>
      </c>
      <c r="D546" s="66">
        <f>'STUDENT DETAILS'!D543</f>
        <v>0</v>
      </c>
      <c r="E546" s="94">
        <f>'STUDENT DETAILS'!E543</f>
        <v>0</v>
      </c>
      <c r="F546" s="66" t="b">
        <f t="shared" si="32"/>
        <v>0</v>
      </c>
      <c r="G546" s="66"/>
      <c r="H546" s="66"/>
      <c r="I546" s="66"/>
      <c r="J546" s="66"/>
      <c r="K546" s="66">
        <f t="shared" si="33"/>
        <v>0</v>
      </c>
      <c r="L546" s="66">
        <f t="shared" si="34"/>
        <v>0</v>
      </c>
      <c r="M546" s="66" t="str">
        <f t="shared" si="35"/>
        <v>UNPAID</v>
      </c>
    </row>
    <row r="547" spans="1:13" x14ac:dyDescent="0.3">
      <c r="A547" s="66">
        <f>'STUDENT DETAILS'!A544</f>
        <v>0</v>
      </c>
      <c r="B547" s="66">
        <f>'STUDENT DETAILS'!B544</f>
        <v>0</v>
      </c>
      <c r="C547" s="66">
        <f>'STUDENT DETAILS'!C544</f>
        <v>0</v>
      </c>
      <c r="D547" s="66">
        <f>'STUDENT DETAILS'!D544</f>
        <v>0</v>
      </c>
      <c r="E547" s="94">
        <f>'STUDENT DETAILS'!E544</f>
        <v>0</v>
      </c>
      <c r="F547" s="66" t="b">
        <f t="shared" si="32"/>
        <v>0</v>
      </c>
      <c r="G547" s="66"/>
      <c r="H547" s="66"/>
      <c r="I547" s="66"/>
      <c r="J547" s="66"/>
      <c r="K547" s="66">
        <f t="shared" si="33"/>
        <v>0</v>
      </c>
      <c r="L547" s="66">
        <f t="shared" si="34"/>
        <v>0</v>
      </c>
      <c r="M547" s="66" t="str">
        <f t="shared" si="35"/>
        <v>UNPAID</v>
      </c>
    </row>
    <row r="548" spans="1:13" x14ac:dyDescent="0.3">
      <c r="A548" s="66">
        <f>'STUDENT DETAILS'!A545</f>
        <v>0</v>
      </c>
      <c r="B548" s="66">
        <f>'STUDENT DETAILS'!B545</f>
        <v>0</v>
      </c>
      <c r="C548" s="66">
        <f>'STUDENT DETAILS'!C545</f>
        <v>0</v>
      </c>
      <c r="D548" s="66">
        <f>'STUDENT DETAILS'!D545</f>
        <v>0</v>
      </c>
      <c r="E548" s="94">
        <f>'STUDENT DETAILS'!E545</f>
        <v>0</v>
      </c>
      <c r="F548" s="66" t="b">
        <f t="shared" si="32"/>
        <v>0</v>
      </c>
      <c r="G548" s="66"/>
      <c r="H548" s="66"/>
      <c r="I548" s="66"/>
      <c r="J548" s="66"/>
      <c r="K548" s="66">
        <f t="shared" si="33"/>
        <v>0</v>
      </c>
      <c r="L548" s="66">
        <f t="shared" si="34"/>
        <v>0</v>
      </c>
      <c r="M548" s="66" t="str">
        <f t="shared" si="35"/>
        <v>UNPAID</v>
      </c>
    </row>
    <row r="549" spans="1:13" x14ac:dyDescent="0.3">
      <c r="A549" s="66">
        <f>'STUDENT DETAILS'!A546</f>
        <v>0</v>
      </c>
      <c r="B549" s="66">
        <f>'STUDENT DETAILS'!B546</f>
        <v>0</v>
      </c>
      <c r="C549" s="66">
        <f>'STUDENT DETAILS'!C546</f>
        <v>0</v>
      </c>
      <c r="D549" s="66">
        <f>'STUDENT DETAILS'!D546</f>
        <v>0</v>
      </c>
      <c r="E549" s="94">
        <f>'STUDENT DETAILS'!E546</f>
        <v>0</v>
      </c>
      <c r="F549" s="66" t="b">
        <f t="shared" si="32"/>
        <v>0</v>
      </c>
      <c r="G549" s="66"/>
      <c r="H549" s="66"/>
      <c r="I549" s="66"/>
      <c r="J549" s="66"/>
      <c r="K549" s="66">
        <f t="shared" si="33"/>
        <v>0</v>
      </c>
      <c r="L549" s="66">
        <f t="shared" si="34"/>
        <v>0</v>
      </c>
      <c r="M549" s="66" t="str">
        <f t="shared" si="35"/>
        <v>UNPAID</v>
      </c>
    </row>
    <row r="550" spans="1:13" x14ac:dyDescent="0.3">
      <c r="A550" s="66">
        <f>'STUDENT DETAILS'!A547</f>
        <v>0</v>
      </c>
      <c r="B550" s="66">
        <f>'STUDENT DETAILS'!B547</f>
        <v>0</v>
      </c>
      <c r="C550" s="66">
        <f>'STUDENT DETAILS'!C547</f>
        <v>0</v>
      </c>
      <c r="D550" s="66">
        <f>'STUDENT DETAILS'!D547</f>
        <v>0</v>
      </c>
      <c r="E550" s="94">
        <f>'STUDENT DETAILS'!E547</f>
        <v>0</v>
      </c>
      <c r="F550" s="66" t="b">
        <f t="shared" si="32"/>
        <v>0</v>
      </c>
      <c r="G550" s="66"/>
      <c r="H550" s="66"/>
      <c r="I550" s="66"/>
      <c r="J550" s="66"/>
      <c r="K550" s="66">
        <f t="shared" si="33"/>
        <v>0</v>
      </c>
      <c r="L550" s="66">
        <f t="shared" si="34"/>
        <v>0</v>
      </c>
      <c r="M550" s="66" t="str">
        <f t="shared" si="35"/>
        <v>UNPAID</v>
      </c>
    </row>
    <row r="551" spans="1:13" x14ac:dyDescent="0.3">
      <c r="A551" s="66">
        <f>'STUDENT DETAILS'!A548</f>
        <v>0</v>
      </c>
      <c r="B551" s="66">
        <f>'STUDENT DETAILS'!B548</f>
        <v>0</v>
      </c>
      <c r="C551" s="66">
        <f>'STUDENT DETAILS'!C548</f>
        <v>0</v>
      </c>
      <c r="D551" s="66">
        <f>'STUDENT DETAILS'!D548</f>
        <v>0</v>
      </c>
      <c r="E551" s="94">
        <f>'STUDENT DETAILS'!E548</f>
        <v>0</v>
      </c>
      <c r="F551" s="66" t="b">
        <f t="shared" si="32"/>
        <v>0</v>
      </c>
      <c r="G551" s="66"/>
      <c r="H551" s="66"/>
      <c r="I551" s="66"/>
      <c r="J551" s="66"/>
      <c r="K551" s="66">
        <f t="shared" si="33"/>
        <v>0</v>
      </c>
      <c r="L551" s="66">
        <f t="shared" si="34"/>
        <v>0</v>
      </c>
      <c r="M551" s="66" t="str">
        <f t="shared" si="35"/>
        <v>UNPAID</v>
      </c>
    </row>
    <row r="552" spans="1:13" x14ac:dyDescent="0.3">
      <c r="A552" s="66">
        <f>'STUDENT DETAILS'!A549</f>
        <v>0</v>
      </c>
      <c r="B552" s="66">
        <f>'STUDENT DETAILS'!B549</f>
        <v>0</v>
      </c>
      <c r="C552" s="66">
        <f>'STUDENT DETAILS'!C549</f>
        <v>0</v>
      </c>
      <c r="D552" s="66">
        <f>'STUDENT DETAILS'!D549</f>
        <v>0</v>
      </c>
      <c r="E552" s="94">
        <f>'STUDENT DETAILS'!E549</f>
        <v>0</v>
      </c>
      <c r="F552" s="66" t="b">
        <f t="shared" si="32"/>
        <v>0</v>
      </c>
      <c r="G552" s="66"/>
      <c r="H552" s="66"/>
      <c r="I552" s="66"/>
      <c r="J552" s="66"/>
      <c r="K552" s="66">
        <f t="shared" si="33"/>
        <v>0</v>
      </c>
      <c r="L552" s="66">
        <f t="shared" si="34"/>
        <v>0</v>
      </c>
      <c r="M552" s="66" t="str">
        <f t="shared" si="35"/>
        <v>UNPAID</v>
      </c>
    </row>
    <row r="553" spans="1:13" x14ac:dyDescent="0.3">
      <c r="A553" s="66">
        <f>'STUDENT DETAILS'!A550</f>
        <v>0</v>
      </c>
      <c r="B553" s="66">
        <f>'STUDENT DETAILS'!B550</f>
        <v>0</v>
      </c>
      <c r="C553" s="66">
        <f>'STUDENT DETAILS'!C550</f>
        <v>0</v>
      </c>
      <c r="D553" s="66">
        <f>'STUDENT DETAILS'!D550</f>
        <v>0</v>
      </c>
      <c r="E553" s="94">
        <f>'STUDENT DETAILS'!E550</f>
        <v>0</v>
      </c>
      <c r="F553" s="66" t="b">
        <f t="shared" si="32"/>
        <v>0</v>
      </c>
      <c r="G553" s="66"/>
      <c r="H553" s="66"/>
      <c r="I553" s="66"/>
      <c r="J553" s="66"/>
      <c r="K553" s="66">
        <f t="shared" si="33"/>
        <v>0</v>
      </c>
      <c r="L553" s="66">
        <f t="shared" si="34"/>
        <v>0</v>
      </c>
      <c r="M553" s="66" t="str">
        <f t="shared" si="35"/>
        <v>UNPAID</v>
      </c>
    </row>
    <row r="554" spans="1:13" x14ac:dyDescent="0.3">
      <c r="A554" s="66">
        <f>'STUDENT DETAILS'!A551</f>
        <v>0</v>
      </c>
      <c r="B554" s="66">
        <f>'STUDENT DETAILS'!B551</f>
        <v>0</v>
      </c>
      <c r="C554" s="66">
        <f>'STUDENT DETAILS'!C551</f>
        <v>0</v>
      </c>
      <c r="D554" s="66">
        <f>'STUDENT DETAILS'!D551</f>
        <v>0</v>
      </c>
      <c r="E554" s="94">
        <f>'STUDENT DETAILS'!E551</f>
        <v>0</v>
      </c>
      <c r="F554" s="66" t="b">
        <f t="shared" si="32"/>
        <v>0</v>
      </c>
      <c r="G554" s="66"/>
      <c r="H554" s="66"/>
      <c r="I554" s="66"/>
      <c r="J554" s="66"/>
      <c r="K554" s="66">
        <f t="shared" si="33"/>
        <v>0</v>
      </c>
      <c r="L554" s="66">
        <f t="shared" si="34"/>
        <v>0</v>
      </c>
      <c r="M554" s="66" t="str">
        <f t="shared" si="35"/>
        <v>UNPAID</v>
      </c>
    </row>
    <row r="555" spans="1:13" x14ac:dyDescent="0.3">
      <c r="A555" s="66">
        <f>'STUDENT DETAILS'!A552</f>
        <v>0</v>
      </c>
      <c r="B555" s="66">
        <f>'STUDENT DETAILS'!B552</f>
        <v>0</v>
      </c>
      <c r="C555" s="66">
        <f>'STUDENT DETAILS'!C552</f>
        <v>0</v>
      </c>
      <c r="D555" s="66">
        <f>'STUDENT DETAILS'!D552</f>
        <v>0</v>
      </c>
      <c r="E555" s="94">
        <f>'STUDENT DETAILS'!E552</f>
        <v>0</v>
      </c>
      <c r="F555" s="66" t="b">
        <f t="shared" si="32"/>
        <v>0</v>
      </c>
      <c r="G555" s="66"/>
      <c r="H555" s="66"/>
      <c r="I555" s="66"/>
      <c r="J555" s="66"/>
      <c r="K555" s="66">
        <f t="shared" si="33"/>
        <v>0</v>
      </c>
      <c r="L555" s="66">
        <f t="shared" si="34"/>
        <v>0</v>
      </c>
      <c r="M555" s="66" t="str">
        <f t="shared" si="35"/>
        <v>UNPAID</v>
      </c>
    </row>
    <row r="556" spans="1:13" x14ac:dyDescent="0.3">
      <c r="A556" s="66">
        <f>'STUDENT DETAILS'!A553</f>
        <v>0</v>
      </c>
      <c r="B556" s="66">
        <f>'STUDENT DETAILS'!B553</f>
        <v>0</v>
      </c>
      <c r="C556" s="66">
        <f>'STUDENT DETAILS'!C553</f>
        <v>0</v>
      </c>
      <c r="D556" s="66">
        <f>'STUDENT DETAILS'!D553</f>
        <v>0</v>
      </c>
      <c r="E556" s="94">
        <f>'STUDENT DETAILS'!E553</f>
        <v>0</v>
      </c>
      <c r="F556" s="66" t="b">
        <f t="shared" si="32"/>
        <v>0</v>
      </c>
      <c r="G556" s="66"/>
      <c r="H556" s="66"/>
      <c r="I556" s="66"/>
      <c r="J556" s="66"/>
      <c r="K556" s="66">
        <f t="shared" si="33"/>
        <v>0</v>
      </c>
      <c r="L556" s="66">
        <f t="shared" si="34"/>
        <v>0</v>
      </c>
      <c r="M556" s="66" t="str">
        <f t="shared" si="35"/>
        <v>UNPAID</v>
      </c>
    </row>
    <row r="557" spans="1:13" x14ac:dyDescent="0.3">
      <c r="A557" s="66">
        <f>'STUDENT DETAILS'!A554</f>
        <v>0</v>
      </c>
      <c r="B557" s="66">
        <f>'STUDENT DETAILS'!B554</f>
        <v>0</v>
      </c>
      <c r="C557" s="66">
        <f>'STUDENT DETAILS'!C554</f>
        <v>0</v>
      </c>
      <c r="D557" s="66">
        <f>'STUDENT DETAILS'!D554</f>
        <v>0</v>
      </c>
      <c r="E557" s="94">
        <f>'STUDENT DETAILS'!E554</f>
        <v>0</v>
      </c>
      <c r="F557" s="66" t="b">
        <f t="shared" si="32"/>
        <v>0</v>
      </c>
      <c r="G557" s="66"/>
      <c r="H557" s="66"/>
      <c r="I557" s="66"/>
      <c r="J557" s="66"/>
      <c r="K557" s="66">
        <f t="shared" si="33"/>
        <v>0</v>
      </c>
      <c r="L557" s="66">
        <f t="shared" si="34"/>
        <v>0</v>
      </c>
      <c r="M557" s="66" t="str">
        <f t="shared" si="35"/>
        <v>UNPAID</v>
      </c>
    </row>
    <row r="558" spans="1:13" x14ac:dyDescent="0.3">
      <c r="A558" s="66">
        <f>'STUDENT DETAILS'!A555</f>
        <v>0</v>
      </c>
      <c r="B558" s="66">
        <f>'STUDENT DETAILS'!B555</f>
        <v>0</v>
      </c>
      <c r="C558" s="66">
        <f>'STUDENT DETAILS'!C555</f>
        <v>0</v>
      </c>
      <c r="D558" s="66">
        <f>'STUDENT DETAILS'!D555</f>
        <v>0</v>
      </c>
      <c r="E558" s="94">
        <f>'STUDENT DETAILS'!E555</f>
        <v>0</v>
      </c>
      <c r="F558" s="66" t="b">
        <f t="shared" si="32"/>
        <v>0</v>
      </c>
      <c r="G558" s="66"/>
      <c r="H558" s="66"/>
      <c r="I558" s="66"/>
      <c r="J558" s="66"/>
      <c r="K558" s="66">
        <f t="shared" si="33"/>
        <v>0</v>
      </c>
      <c r="L558" s="66">
        <f t="shared" si="34"/>
        <v>0</v>
      </c>
      <c r="M558" s="66" t="str">
        <f t="shared" si="35"/>
        <v>UNPAID</v>
      </c>
    </row>
    <row r="559" spans="1:13" x14ac:dyDescent="0.3">
      <c r="A559" s="66">
        <f>'STUDENT DETAILS'!A556</f>
        <v>0</v>
      </c>
      <c r="B559" s="66">
        <f>'STUDENT DETAILS'!B556</f>
        <v>0</v>
      </c>
      <c r="C559" s="66">
        <f>'STUDENT DETAILS'!C556</f>
        <v>0</v>
      </c>
      <c r="D559" s="66">
        <f>'STUDENT DETAILS'!D556</f>
        <v>0</v>
      </c>
      <c r="E559" s="94">
        <f>'STUDENT DETAILS'!E556</f>
        <v>0</v>
      </c>
      <c r="F559" s="66" t="b">
        <f t="shared" si="32"/>
        <v>0</v>
      </c>
      <c r="G559" s="66"/>
      <c r="H559" s="66"/>
      <c r="I559" s="66"/>
      <c r="J559" s="66"/>
      <c r="K559" s="66">
        <f t="shared" si="33"/>
        <v>0</v>
      </c>
      <c r="L559" s="66">
        <f t="shared" si="34"/>
        <v>0</v>
      </c>
      <c r="M559" s="66" t="str">
        <f t="shared" si="35"/>
        <v>UNPAID</v>
      </c>
    </row>
    <row r="560" spans="1:13" x14ac:dyDescent="0.3">
      <c r="A560" s="66">
        <f>'STUDENT DETAILS'!A557</f>
        <v>0</v>
      </c>
      <c r="B560" s="66">
        <f>'STUDENT DETAILS'!B557</f>
        <v>0</v>
      </c>
      <c r="C560" s="66">
        <f>'STUDENT DETAILS'!C557</f>
        <v>0</v>
      </c>
      <c r="D560" s="66">
        <f>'STUDENT DETAILS'!D557</f>
        <v>0</v>
      </c>
      <c r="E560" s="94">
        <f>'STUDENT DETAILS'!E557</f>
        <v>0</v>
      </c>
      <c r="F560" s="66" t="b">
        <f t="shared" si="32"/>
        <v>0</v>
      </c>
      <c r="G560" s="66"/>
      <c r="H560" s="66"/>
      <c r="I560" s="66"/>
      <c r="J560" s="66"/>
      <c r="K560" s="66">
        <f t="shared" si="33"/>
        <v>0</v>
      </c>
      <c r="L560" s="66">
        <f t="shared" si="34"/>
        <v>0</v>
      </c>
      <c r="M560" s="66" t="str">
        <f t="shared" si="35"/>
        <v>UNPAID</v>
      </c>
    </row>
    <row r="561" spans="1:13" x14ac:dyDescent="0.3">
      <c r="A561" s="66">
        <f>'STUDENT DETAILS'!A558</f>
        <v>0</v>
      </c>
      <c r="B561" s="66">
        <f>'STUDENT DETAILS'!B558</f>
        <v>0</v>
      </c>
      <c r="C561" s="66">
        <f>'STUDENT DETAILS'!C558</f>
        <v>0</v>
      </c>
      <c r="D561" s="66">
        <f>'STUDENT DETAILS'!D558</f>
        <v>0</v>
      </c>
      <c r="E561" s="94">
        <f>'STUDENT DETAILS'!E558</f>
        <v>0</v>
      </c>
      <c r="F561" s="66" t="b">
        <f t="shared" si="32"/>
        <v>0</v>
      </c>
      <c r="G561" s="66"/>
      <c r="H561" s="66"/>
      <c r="I561" s="66"/>
      <c r="J561" s="66"/>
      <c r="K561" s="66">
        <f t="shared" si="33"/>
        <v>0</v>
      </c>
      <c r="L561" s="66">
        <f t="shared" si="34"/>
        <v>0</v>
      </c>
      <c r="M561" s="66" t="str">
        <f t="shared" si="35"/>
        <v>UNPAID</v>
      </c>
    </row>
    <row r="562" spans="1:13" x14ac:dyDescent="0.3">
      <c r="A562" s="66">
        <f>'STUDENT DETAILS'!A559</f>
        <v>0</v>
      </c>
      <c r="B562" s="66">
        <f>'STUDENT DETAILS'!B559</f>
        <v>0</v>
      </c>
      <c r="C562" s="66">
        <f>'STUDENT DETAILS'!C559</f>
        <v>0</v>
      </c>
      <c r="D562" s="66">
        <f>'STUDENT DETAILS'!D559</f>
        <v>0</v>
      </c>
      <c r="E562" s="94">
        <f>'STUDENT DETAILS'!E559</f>
        <v>0</v>
      </c>
      <c r="F562" s="66" t="b">
        <f t="shared" si="32"/>
        <v>0</v>
      </c>
      <c r="G562" s="66"/>
      <c r="H562" s="66"/>
      <c r="I562" s="66"/>
      <c r="J562" s="66"/>
      <c r="K562" s="66">
        <f t="shared" si="33"/>
        <v>0</v>
      </c>
      <c r="L562" s="66">
        <f t="shared" si="34"/>
        <v>0</v>
      </c>
      <c r="M562" s="66" t="str">
        <f t="shared" si="35"/>
        <v>UNPAID</v>
      </c>
    </row>
    <row r="563" spans="1:13" x14ac:dyDescent="0.3">
      <c r="A563" s="66">
        <f>'STUDENT DETAILS'!A560</f>
        <v>0</v>
      </c>
      <c r="B563" s="66">
        <f>'STUDENT DETAILS'!B560</f>
        <v>0</v>
      </c>
      <c r="C563" s="66">
        <f>'STUDENT DETAILS'!C560</f>
        <v>0</v>
      </c>
      <c r="D563" s="66">
        <f>'STUDENT DETAILS'!D560</f>
        <v>0</v>
      </c>
      <c r="E563" s="94">
        <f>'STUDENT DETAILS'!E560</f>
        <v>0</v>
      </c>
      <c r="F563" s="66" t="b">
        <f t="shared" si="32"/>
        <v>0</v>
      </c>
      <c r="G563" s="66"/>
      <c r="H563" s="66"/>
      <c r="I563" s="66"/>
      <c r="J563" s="66"/>
      <c r="K563" s="66">
        <f t="shared" si="33"/>
        <v>0</v>
      </c>
      <c r="L563" s="66">
        <f t="shared" si="34"/>
        <v>0</v>
      </c>
      <c r="M563" s="66" t="str">
        <f t="shared" si="35"/>
        <v>UNPAID</v>
      </c>
    </row>
    <row r="564" spans="1:13" x14ac:dyDescent="0.3">
      <c r="A564" s="66">
        <f>'STUDENT DETAILS'!A561</f>
        <v>0</v>
      </c>
      <c r="B564" s="66">
        <f>'STUDENT DETAILS'!B561</f>
        <v>0</v>
      </c>
      <c r="C564" s="66">
        <f>'STUDENT DETAILS'!C561</f>
        <v>0</v>
      </c>
      <c r="D564" s="66">
        <f>'STUDENT DETAILS'!D561</f>
        <v>0</v>
      </c>
      <c r="E564" s="94">
        <f>'STUDENT DETAILS'!E561</f>
        <v>0</v>
      </c>
      <c r="F564" s="66" t="b">
        <f t="shared" si="32"/>
        <v>0</v>
      </c>
      <c r="G564" s="66"/>
      <c r="H564" s="66"/>
      <c r="I564" s="66"/>
      <c r="J564" s="66"/>
      <c r="K564" s="66">
        <f t="shared" si="33"/>
        <v>0</v>
      </c>
      <c r="L564" s="66">
        <f t="shared" si="34"/>
        <v>0</v>
      </c>
      <c r="M564" s="66" t="str">
        <f t="shared" si="35"/>
        <v>UNPAID</v>
      </c>
    </row>
    <row r="565" spans="1:13" x14ac:dyDescent="0.3">
      <c r="A565" s="66">
        <f>'STUDENT DETAILS'!A562</f>
        <v>0</v>
      </c>
      <c r="B565" s="66">
        <f>'STUDENT DETAILS'!B562</f>
        <v>0</v>
      </c>
      <c r="C565" s="66">
        <f>'STUDENT DETAILS'!C562</f>
        <v>0</v>
      </c>
      <c r="D565" s="66">
        <f>'STUDENT DETAILS'!D562</f>
        <v>0</v>
      </c>
      <c r="E565" s="94">
        <f>'STUDENT DETAILS'!E562</f>
        <v>0</v>
      </c>
      <c r="F565" s="66" t="b">
        <f t="shared" si="32"/>
        <v>0</v>
      </c>
      <c r="G565" s="66"/>
      <c r="H565" s="66"/>
      <c r="I565" s="66"/>
      <c r="J565" s="66"/>
      <c r="K565" s="66">
        <f t="shared" si="33"/>
        <v>0</v>
      </c>
      <c r="L565" s="66">
        <f t="shared" si="34"/>
        <v>0</v>
      </c>
      <c r="M565" s="66" t="str">
        <f t="shared" si="35"/>
        <v>UNPAID</v>
      </c>
    </row>
    <row r="566" spans="1:13" x14ac:dyDescent="0.3">
      <c r="A566" s="66">
        <f>'STUDENT DETAILS'!A563</f>
        <v>0</v>
      </c>
      <c r="B566" s="66">
        <f>'STUDENT DETAILS'!B563</f>
        <v>0</v>
      </c>
      <c r="C566" s="66">
        <f>'STUDENT DETAILS'!C563</f>
        <v>0</v>
      </c>
      <c r="D566" s="66">
        <f>'STUDENT DETAILS'!D563</f>
        <v>0</v>
      </c>
      <c r="E566" s="94">
        <f>'STUDENT DETAILS'!E563</f>
        <v>0</v>
      </c>
      <c r="F566" s="66" t="b">
        <f t="shared" si="32"/>
        <v>0</v>
      </c>
      <c r="G566" s="66"/>
      <c r="H566" s="66"/>
      <c r="I566" s="66"/>
      <c r="J566" s="66"/>
      <c r="K566" s="66">
        <f t="shared" si="33"/>
        <v>0</v>
      </c>
      <c r="L566" s="66">
        <f t="shared" si="34"/>
        <v>0</v>
      </c>
      <c r="M566" s="66" t="str">
        <f t="shared" si="35"/>
        <v>UNPAID</v>
      </c>
    </row>
    <row r="567" spans="1:13" x14ac:dyDescent="0.3">
      <c r="A567" s="66">
        <f>'STUDENT DETAILS'!A564</f>
        <v>0</v>
      </c>
      <c r="B567" s="66">
        <f>'STUDENT DETAILS'!B564</f>
        <v>0</v>
      </c>
      <c r="C567" s="66">
        <f>'STUDENT DETAILS'!C564</f>
        <v>0</v>
      </c>
      <c r="D567" s="66">
        <f>'STUDENT DETAILS'!D564</f>
        <v>0</v>
      </c>
      <c r="E567" s="94">
        <f>'STUDENT DETAILS'!E564</f>
        <v>0</v>
      </c>
      <c r="F567" s="66" t="b">
        <f t="shared" si="32"/>
        <v>0</v>
      </c>
      <c r="G567" s="66"/>
      <c r="H567" s="66"/>
      <c r="I567" s="66"/>
      <c r="J567" s="66"/>
      <c r="K567" s="66">
        <f t="shared" si="33"/>
        <v>0</v>
      </c>
      <c r="L567" s="66">
        <f t="shared" si="34"/>
        <v>0</v>
      </c>
      <c r="M567" s="66" t="str">
        <f t="shared" si="35"/>
        <v>UNPAID</v>
      </c>
    </row>
    <row r="568" spans="1:13" x14ac:dyDescent="0.3">
      <c r="A568" s="66">
        <f>'STUDENT DETAILS'!A565</f>
        <v>0</v>
      </c>
      <c r="B568" s="66">
        <f>'STUDENT DETAILS'!B565</f>
        <v>0</v>
      </c>
      <c r="C568" s="66">
        <f>'STUDENT DETAILS'!C565</f>
        <v>0</v>
      </c>
      <c r="D568" s="66">
        <f>'STUDENT DETAILS'!D565</f>
        <v>0</v>
      </c>
      <c r="E568" s="94">
        <f>'STUDENT DETAILS'!E565</f>
        <v>0</v>
      </c>
      <c r="F568" s="66" t="b">
        <f t="shared" si="32"/>
        <v>0</v>
      </c>
      <c r="G568" s="66"/>
      <c r="H568" s="66"/>
      <c r="I568" s="66"/>
      <c r="J568" s="66"/>
      <c r="K568" s="66">
        <f t="shared" si="33"/>
        <v>0</v>
      </c>
      <c r="L568" s="66">
        <f t="shared" si="34"/>
        <v>0</v>
      </c>
      <c r="M568" s="66" t="str">
        <f t="shared" si="35"/>
        <v>UNPAID</v>
      </c>
    </row>
    <row r="569" spans="1:13" x14ac:dyDescent="0.3">
      <c r="A569" s="66">
        <f>'STUDENT DETAILS'!A566</f>
        <v>0</v>
      </c>
      <c r="B569" s="66">
        <f>'STUDENT DETAILS'!B566</f>
        <v>0</v>
      </c>
      <c r="C569" s="66">
        <f>'STUDENT DETAILS'!C566</f>
        <v>0</v>
      </c>
      <c r="D569" s="66">
        <f>'STUDENT DETAILS'!D566</f>
        <v>0</v>
      </c>
      <c r="E569" s="94">
        <f>'STUDENT DETAILS'!E566</f>
        <v>0</v>
      </c>
      <c r="F569" s="66" t="b">
        <f t="shared" si="32"/>
        <v>0</v>
      </c>
      <c r="G569" s="66"/>
      <c r="H569" s="66"/>
      <c r="I569" s="66"/>
      <c r="J569" s="66"/>
      <c r="K569" s="66">
        <f t="shared" si="33"/>
        <v>0</v>
      </c>
      <c r="L569" s="66">
        <f t="shared" si="34"/>
        <v>0</v>
      </c>
      <c r="M569" s="66" t="str">
        <f t="shared" si="35"/>
        <v>UNPAID</v>
      </c>
    </row>
    <row r="570" spans="1:13" x14ac:dyDescent="0.3">
      <c r="A570" s="66">
        <f>'STUDENT DETAILS'!A567</f>
        <v>0</v>
      </c>
      <c r="B570" s="66">
        <f>'STUDENT DETAILS'!B567</f>
        <v>0</v>
      </c>
      <c r="C570" s="66">
        <f>'STUDENT DETAILS'!C567</f>
        <v>0</v>
      </c>
      <c r="D570" s="66">
        <f>'STUDENT DETAILS'!D567</f>
        <v>0</v>
      </c>
      <c r="E570" s="94">
        <f>'STUDENT DETAILS'!E567</f>
        <v>0</v>
      </c>
      <c r="F570" s="66" t="b">
        <f t="shared" si="32"/>
        <v>0</v>
      </c>
      <c r="G570" s="66"/>
      <c r="H570" s="66"/>
      <c r="I570" s="66"/>
      <c r="J570" s="66"/>
      <c r="K570" s="66">
        <f t="shared" si="33"/>
        <v>0</v>
      </c>
      <c r="L570" s="66">
        <f t="shared" si="34"/>
        <v>0</v>
      </c>
      <c r="M570" s="66" t="str">
        <f t="shared" si="35"/>
        <v>UNPAID</v>
      </c>
    </row>
    <row r="571" spans="1:13" x14ac:dyDescent="0.3">
      <c r="A571" s="66">
        <f>'STUDENT DETAILS'!A568</f>
        <v>0</v>
      </c>
      <c r="B571" s="66">
        <f>'STUDENT DETAILS'!B568</f>
        <v>0</v>
      </c>
      <c r="C571" s="66">
        <f>'STUDENT DETAILS'!C568</f>
        <v>0</v>
      </c>
      <c r="D571" s="66">
        <f>'STUDENT DETAILS'!D568</f>
        <v>0</v>
      </c>
      <c r="E571" s="94">
        <f>'STUDENT DETAILS'!E568</f>
        <v>0</v>
      </c>
      <c r="F571" s="66" t="b">
        <f t="shared" si="32"/>
        <v>0</v>
      </c>
      <c r="G571" s="66"/>
      <c r="H571" s="66"/>
      <c r="I571" s="66"/>
      <c r="J571" s="66"/>
      <c r="K571" s="66">
        <f t="shared" si="33"/>
        <v>0</v>
      </c>
      <c r="L571" s="66">
        <f t="shared" si="34"/>
        <v>0</v>
      </c>
      <c r="M571" s="66" t="str">
        <f t="shared" si="35"/>
        <v>UNPAID</v>
      </c>
    </row>
    <row r="572" spans="1:13" x14ac:dyDescent="0.3">
      <c r="A572" s="66">
        <f>'STUDENT DETAILS'!A569</f>
        <v>0</v>
      </c>
      <c r="B572" s="66">
        <f>'STUDENT DETAILS'!B569</f>
        <v>0</v>
      </c>
      <c r="C572" s="66">
        <f>'STUDENT DETAILS'!C569</f>
        <v>0</v>
      </c>
      <c r="D572" s="66">
        <f>'STUDENT DETAILS'!D569</f>
        <v>0</v>
      </c>
      <c r="E572" s="94">
        <f>'STUDENT DETAILS'!E569</f>
        <v>0</v>
      </c>
      <c r="F572" s="66" t="b">
        <f t="shared" si="32"/>
        <v>0</v>
      </c>
      <c r="G572" s="66"/>
      <c r="H572" s="66"/>
      <c r="I572" s="66"/>
      <c r="J572" s="66"/>
      <c r="K572" s="66">
        <f t="shared" si="33"/>
        <v>0</v>
      </c>
      <c r="L572" s="66">
        <f t="shared" si="34"/>
        <v>0</v>
      </c>
      <c r="M572" s="66" t="str">
        <f t="shared" si="35"/>
        <v>UNPAID</v>
      </c>
    </row>
    <row r="573" spans="1:13" x14ac:dyDescent="0.3">
      <c r="A573" s="66">
        <f>'STUDENT DETAILS'!A570</f>
        <v>0</v>
      </c>
      <c r="B573" s="66">
        <f>'STUDENT DETAILS'!B570</f>
        <v>0</v>
      </c>
      <c r="C573" s="66">
        <f>'STUDENT DETAILS'!C570</f>
        <v>0</v>
      </c>
      <c r="D573" s="66">
        <f>'STUDENT DETAILS'!D570</f>
        <v>0</v>
      </c>
      <c r="E573" s="94">
        <f>'STUDENT DETAILS'!E570</f>
        <v>0</v>
      </c>
      <c r="F573" s="66" t="b">
        <f t="shared" si="32"/>
        <v>0</v>
      </c>
      <c r="G573" s="66"/>
      <c r="H573" s="66"/>
      <c r="I573" s="66"/>
      <c r="J573" s="66"/>
      <c r="K573" s="66">
        <f t="shared" si="33"/>
        <v>0</v>
      </c>
      <c r="L573" s="66">
        <f t="shared" si="34"/>
        <v>0</v>
      </c>
      <c r="M573" s="66" t="str">
        <f t="shared" si="35"/>
        <v>UNPAID</v>
      </c>
    </row>
    <row r="574" spans="1:13" x14ac:dyDescent="0.3">
      <c r="A574" s="66">
        <f>'STUDENT DETAILS'!A571</f>
        <v>0</v>
      </c>
      <c r="B574" s="66">
        <f>'STUDENT DETAILS'!B571</f>
        <v>0</v>
      </c>
      <c r="C574" s="66">
        <f>'STUDENT DETAILS'!C571</f>
        <v>0</v>
      </c>
      <c r="D574" s="66">
        <f>'STUDENT DETAILS'!D571</f>
        <v>0</v>
      </c>
      <c r="E574" s="94">
        <f>'STUDENT DETAILS'!E571</f>
        <v>0</v>
      </c>
      <c r="F574" s="66" t="b">
        <f t="shared" si="32"/>
        <v>0</v>
      </c>
      <c r="G574" s="66"/>
      <c r="H574" s="66"/>
      <c r="I574" s="66"/>
      <c r="J574" s="66"/>
      <c r="K574" s="66">
        <f t="shared" si="33"/>
        <v>0</v>
      </c>
      <c r="L574" s="66">
        <f t="shared" si="34"/>
        <v>0</v>
      </c>
      <c r="M574" s="66" t="str">
        <f t="shared" si="35"/>
        <v>UNPAID</v>
      </c>
    </row>
    <row r="575" spans="1:13" x14ac:dyDescent="0.3">
      <c r="A575" s="66">
        <f>'STUDENT DETAILS'!A572</f>
        <v>0</v>
      </c>
      <c r="B575" s="66">
        <f>'STUDENT DETAILS'!B572</f>
        <v>0</v>
      </c>
      <c r="C575" s="66">
        <f>'STUDENT DETAILS'!C572</f>
        <v>0</v>
      </c>
      <c r="D575" s="66">
        <f>'STUDENT DETAILS'!D572</f>
        <v>0</v>
      </c>
      <c r="E575" s="94">
        <f>'STUDENT DETAILS'!E572</f>
        <v>0</v>
      </c>
      <c r="F575" s="66" t="b">
        <f t="shared" si="32"/>
        <v>0</v>
      </c>
      <c r="G575" s="66"/>
      <c r="H575" s="66"/>
      <c r="I575" s="66"/>
      <c r="J575" s="66"/>
      <c r="K575" s="66">
        <f t="shared" si="33"/>
        <v>0</v>
      </c>
      <c r="L575" s="66">
        <f t="shared" si="34"/>
        <v>0</v>
      </c>
      <c r="M575" s="66" t="str">
        <f t="shared" si="35"/>
        <v>UNPAID</v>
      </c>
    </row>
    <row r="576" spans="1:13" x14ac:dyDescent="0.3">
      <c r="A576" s="66">
        <f>'STUDENT DETAILS'!A573</f>
        <v>0</v>
      </c>
      <c r="B576" s="66">
        <f>'STUDENT DETAILS'!B573</f>
        <v>0</v>
      </c>
      <c r="C576" s="66">
        <f>'STUDENT DETAILS'!C573</f>
        <v>0</v>
      </c>
      <c r="D576" s="66">
        <f>'STUDENT DETAILS'!D573</f>
        <v>0</v>
      </c>
      <c r="E576" s="94">
        <f>'STUDENT DETAILS'!E573</f>
        <v>0</v>
      </c>
      <c r="F576" s="66" t="b">
        <f t="shared" si="32"/>
        <v>0</v>
      </c>
      <c r="G576" s="66"/>
      <c r="H576" s="66"/>
      <c r="I576" s="66"/>
      <c r="J576" s="66"/>
      <c r="K576" s="66">
        <f t="shared" si="33"/>
        <v>0</v>
      </c>
      <c r="L576" s="66">
        <f t="shared" si="34"/>
        <v>0</v>
      </c>
      <c r="M576" s="66" t="str">
        <f t="shared" si="35"/>
        <v>UNPAID</v>
      </c>
    </row>
    <row r="577" spans="1:13" x14ac:dyDescent="0.3">
      <c r="A577" s="66">
        <f>'STUDENT DETAILS'!A574</f>
        <v>0</v>
      </c>
      <c r="B577" s="66">
        <f>'STUDENT DETAILS'!B574</f>
        <v>0</v>
      </c>
      <c r="C577" s="66">
        <f>'STUDENT DETAILS'!C574</f>
        <v>0</v>
      </c>
      <c r="D577" s="66">
        <f>'STUDENT DETAILS'!D574</f>
        <v>0</v>
      </c>
      <c r="E577" s="94">
        <f>'STUDENT DETAILS'!E574</f>
        <v>0</v>
      </c>
      <c r="F577" s="66" t="b">
        <f t="shared" si="32"/>
        <v>0</v>
      </c>
      <c r="G577" s="66"/>
      <c r="H577" s="66"/>
      <c r="I577" s="66"/>
      <c r="J577" s="66"/>
      <c r="K577" s="66">
        <f t="shared" si="33"/>
        <v>0</v>
      </c>
      <c r="L577" s="66">
        <f t="shared" si="34"/>
        <v>0</v>
      </c>
      <c r="M577" s="66" t="str">
        <f t="shared" si="35"/>
        <v>UNPAID</v>
      </c>
    </row>
    <row r="578" spans="1:13" x14ac:dyDescent="0.3">
      <c r="A578" s="66">
        <f>'STUDENT DETAILS'!A575</f>
        <v>0</v>
      </c>
      <c r="B578" s="66">
        <f>'STUDENT DETAILS'!B575</f>
        <v>0</v>
      </c>
      <c r="C578" s="66">
        <f>'STUDENT DETAILS'!C575</f>
        <v>0</v>
      </c>
      <c r="D578" s="66">
        <f>'STUDENT DETAILS'!D575</f>
        <v>0</v>
      </c>
      <c r="E578" s="94">
        <f>'STUDENT DETAILS'!E575</f>
        <v>0</v>
      </c>
      <c r="F578" s="66" t="b">
        <f t="shared" si="32"/>
        <v>0</v>
      </c>
      <c r="G578" s="66"/>
      <c r="H578" s="66"/>
      <c r="I578" s="66"/>
      <c r="J578" s="66"/>
      <c r="K578" s="66">
        <f t="shared" si="33"/>
        <v>0</v>
      </c>
      <c r="L578" s="66">
        <f t="shared" si="34"/>
        <v>0</v>
      </c>
      <c r="M578" s="66" t="str">
        <f t="shared" si="35"/>
        <v>UNPAID</v>
      </c>
    </row>
    <row r="579" spans="1:13" x14ac:dyDescent="0.3">
      <c r="A579" s="66">
        <f>'STUDENT DETAILS'!A576</f>
        <v>0</v>
      </c>
      <c r="B579" s="66">
        <f>'STUDENT DETAILS'!B576</f>
        <v>0</v>
      </c>
      <c r="C579" s="66">
        <f>'STUDENT DETAILS'!C576</f>
        <v>0</v>
      </c>
      <c r="D579" s="66">
        <f>'STUDENT DETAILS'!D576</f>
        <v>0</v>
      </c>
      <c r="E579" s="94">
        <f>'STUDENT DETAILS'!E576</f>
        <v>0</v>
      </c>
      <c r="F579" s="66" t="b">
        <f t="shared" si="32"/>
        <v>0</v>
      </c>
      <c r="G579" s="66"/>
      <c r="H579" s="66"/>
      <c r="I579" s="66"/>
      <c r="J579" s="66"/>
      <c r="K579" s="66">
        <f t="shared" si="33"/>
        <v>0</v>
      </c>
      <c r="L579" s="66">
        <f t="shared" si="34"/>
        <v>0</v>
      </c>
      <c r="M579" s="66" t="str">
        <f t="shared" si="35"/>
        <v>UNPAID</v>
      </c>
    </row>
    <row r="580" spans="1:13" x14ac:dyDescent="0.3">
      <c r="A580" s="66">
        <f>'STUDENT DETAILS'!A577</f>
        <v>0</v>
      </c>
      <c r="B580" s="66">
        <f>'STUDENT DETAILS'!B577</f>
        <v>0</v>
      </c>
      <c r="C580" s="66">
        <f>'STUDENT DETAILS'!C577</f>
        <v>0</v>
      </c>
      <c r="D580" s="66">
        <f>'STUDENT DETAILS'!D577</f>
        <v>0</v>
      </c>
      <c r="E580" s="94">
        <f>'STUDENT DETAILS'!E577</f>
        <v>0</v>
      </c>
      <c r="F580" s="66" t="b">
        <f t="shared" si="32"/>
        <v>0</v>
      </c>
      <c r="G580" s="66"/>
      <c r="H580" s="66"/>
      <c r="I580" s="66"/>
      <c r="J580" s="66"/>
      <c r="K580" s="66">
        <f t="shared" si="33"/>
        <v>0</v>
      </c>
      <c r="L580" s="66">
        <f t="shared" si="34"/>
        <v>0</v>
      </c>
      <c r="M580" s="66" t="str">
        <f t="shared" si="35"/>
        <v>UNPAID</v>
      </c>
    </row>
    <row r="581" spans="1:13" x14ac:dyDescent="0.3">
      <c r="A581" s="66">
        <f>'STUDENT DETAILS'!A578</f>
        <v>0</v>
      </c>
      <c r="B581" s="66">
        <f>'STUDENT DETAILS'!B578</f>
        <v>0</v>
      </c>
      <c r="C581" s="66">
        <f>'STUDENT DETAILS'!C578</f>
        <v>0</v>
      </c>
      <c r="D581" s="66">
        <f>'STUDENT DETAILS'!D578</f>
        <v>0</v>
      </c>
      <c r="E581" s="94">
        <f>'STUDENT DETAILS'!E578</f>
        <v>0</v>
      </c>
      <c r="F581" s="66" t="b">
        <f t="shared" si="32"/>
        <v>0</v>
      </c>
      <c r="G581" s="66"/>
      <c r="H581" s="66"/>
      <c r="I581" s="66"/>
      <c r="J581" s="66"/>
      <c r="K581" s="66">
        <f t="shared" si="33"/>
        <v>0</v>
      </c>
      <c r="L581" s="66">
        <f t="shared" si="34"/>
        <v>0</v>
      </c>
      <c r="M581" s="66" t="str">
        <f t="shared" si="35"/>
        <v>UNPAID</v>
      </c>
    </row>
    <row r="582" spans="1:13" x14ac:dyDescent="0.3">
      <c r="A582" s="66">
        <f>'STUDENT DETAILS'!A579</f>
        <v>0</v>
      </c>
      <c r="B582" s="66">
        <f>'STUDENT DETAILS'!B579</f>
        <v>0</v>
      </c>
      <c r="C582" s="66">
        <f>'STUDENT DETAILS'!C579</f>
        <v>0</v>
      </c>
      <c r="D582" s="66">
        <f>'STUDENT DETAILS'!D579</f>
        <v>0</v>
      </c>
      <c r="E582" s="94">
        <f>'STUDENT DETAILS'!E579</f>
        <v>0</v>
      </c>
      <c r="F582" s="66" t="b">
        <f t="shared" si="32"/>
        <v>0</v>
      </c>
      <c r="G582" s="66"/>
      <c r="H582" s="66"/>
      <c r="I582" s="66"/>
      <c r="J582" s="66"/>
      <c r="K582" s="66">
        <f t="shared" si="33"/>
        <v>0</v>
      </c>
      <c r="L582" s="66">
        <f t="shared" si="34"/>
        <v>0</v>
      </c>
      <c r="M582" s="66" t="str">
        <f t="shared" si="35"/>
        <v>UNPAID</v>
      </c>
    </row>
    <row r="583" spans="1:13" x14ac:dyDescent="0.3">
      <c r="A583" s="66">
        <f>'STUDENT DETAILS'!A580</f>
        <v>0</v>
      </c>
      <c r="B583" s="66">
        <f>'STUDENT DETAILS'!B580</f>
        <v>0</v>
      </c>
      <c r="C583" s="66">
        <f>'STUDENT DETAILS'!C580</f>
        <v>0</v>
      </c>
      <c r="D583" s="66">
        <f>'STUDENT DETAILS'!D580</f>
        <v>0</v>
      </c>
      <c r="E583" s="94">
        <f>'STUDENT DETAILS'!E580</f>
        <v>0</v>
      </c>
      <c r="F583" s="66" t="b">
        <f t="shared" ref="F583:F605" si="36">IF(C583="LKG",2000,IF(C583="HKG",3000,IF(C583="1st",4000,IF(C583="2nd",5000,IF(C583="3rd",6000,IF(C583="4th",7000,IF(C583="5th",8000,IF(C583="6th",9000,IF(C583="7th",10000,IF(C583="8th",10500,IF(C583="9th",10700,IF(C583="10th",11000,IF(C583="",0)))))))))))))</f>
        <v>0</v>
      </c>
      <c r="G583" s="66"/>
      <c r="H583" s="66"/>
      <c r="I583" s="66"/>
      <c r="J583" s="66"/>
      <c r="K583" s="66">
        <f t="shared" ref="K583:K605" si="37">SUM(G583:J583)</f>
        <v>0</v>
      </c>
      <c r="L583" s="66">
        <f t="shared" ref="L583:L605" si="38">F583-K583</f>
        <v>0</v>
      </c>
      <c r="M583" s="66" t="str">
        <f t="shared" ref="M583:M605" si="39">IF(K583&gt;=F583,"COMPLETED","UNPAID")</f>
        <v>UNPAID</v>
      </c>
    </row>
    <row r="584" spans="1:13" x14ac:dyDescent="0.3">
      <c r="A584" s="66">
        <f>'STUDENT DETAILS'!A581</f>
        <v>0</v>
      </c>
      <c r="B584" s="66">
        <f>'STUDENT DETAILS'!B581</f>
        <v>0</v>
      </c>
      <c r="C584" s="66">
        <f>'STUDENT DETAILS'!C581</f>
        <v>0</v>
      </c>
      <c r="D584" s="66">
        <f>'STUDENT DETAILS'!D581</f>
        <v>0</v>
      </c>
      <c r="E584" s="94">
        <f>'STUDENT DETAILS'!E581</f>
        <v>0</v>
      </c>
      <c r="F584" s="66" t="b">
        <f t="shared" si="36"/>
        <v>0</v>
      </c>
      <c r="G584" s="66"/>
      <c r="H584" s="66"/>
      <c r="I584" s="66"/>
      <c r="J584" s="66"/>
      <c r="K584" s="66">
        <f t="shared" si="37"/>
        <v>0</v>
      </c>
      <c r="L584" s="66">
        <f t="shared" si="38"/>
        <v>0</v>
      </c>
      <c r="M584" s="66" t="str">
        <f t="shared" si="39"/>
        <v>UNPAID</v>
      </c>
    </row>
    <row r="585" spans="1:13" x14ac:dyDescent="0.3">
      <c r="A585" s="66">
        <f>'STUDENT DETAILS'!A582</f>
        <v>0</v>
      </c>
      <c r="B585" s="66">
        <f>'STUDENT DETAILS'!B582</f>
        <v>0</v>
      </c>
      <c r="C585" s="66">
        <f>'STUDENT DETAILS'!C582</f>
        <v>0</v>
      </c>
      <c r="D585" s="66">
        <f>'STUDENT DETAILS'!D582</f>
        <v>0</v>
      </c>
      <c r="E585" s="94">
        <f>'STUDENT DETAILS'!E582</f>
        <v>0</v>
      </c>
      <c r="F585" s="66" t="b">
        <f t="shared" si="36"/>
        <v>0</v>
      </c>
      <c r="G585" s="66"/>
      <c r="H585" s="66"/>
      <c r="I585" s="66"/>
      <c r="J585" s="66"/>
      <c r="K585" s="66">
        <f t="shared" si="37"/>
        <v>0</v>
      </c>
      <c r="L585" s="66">
        <f t="shared" si="38"/>
        <v>0</v>
      </c>
      <c r="M585" s="66" t="str">
        <f t="shared" si="39"/>
        <v>UNPAID</v>
      </c>
    </row>
    <row r="586" spans="1:13" x14ac:dyDescent="0.3">
      <c r="A586" s="66">
        <f>'STUDENT DETAILS'!A583</f>
        <v>0</v>
      </c>
      <c r="B586" s="66">
        <f>'STUDENT DETAILS'!B583</f>
        <v>0</v>
      </c>
      <c r="C586" s="66">
        <f>'STUDENT DETAILS'!C583</f>
        <v>0</v>
      </c>
      <c r="D586" s="66">
        <f>'STUDENT DETAILS'!D583</f>
        <v>0</v>
      </c>
      <c r="E586" s="94">
        <f>'STUDENT DETAILS'!E583</f>
        <v>0</v>
      </c>
      <c r="F586" s="66" t="b">
        <f t="shared" si="36"/>
        <v>0</v>
      </c>
      <c r="G586" s="66"/>
      <c r="H586" s="66"/>
      <c r="I586" s="66"/>
      <c r="J586" s="66"/>
      <c r="K586" s="66">
        <f t="shared" si="37"/>
        <v>0</v>
      </c>
      <c r="L586" s="66">
        <f t="shared" si="38"/>
        <v>0</v>
      </c>
      <c r="M586" s="66" t="str">
        <f t="shared" si="39"/>
        <v>UNPAID</v>
      </c>
    </row>
    <row r="587" spans="1:13" x14ac:dyDescent="0.3">
      <c r="A587" s="66">
        <f>'STUDENT DETAILS'!A584</f>
        <v>0</v>
      </c>
      <c r="B587" s="66">
        <f>'STUDENT DETAILS'!B584</f>
        <v>0</v>
      </c>
      <c r="C587" s="66">
        <f>'STUDENT DETAILS'!C584</f>
        <v>0</v>
      </c>
      <c r="D587" s="66">
        <f>'STUDENT DETAILS'!D584</f>
        <v>0</v>
      </c>
      <c r="E587" s="94">
        <f>'STUDENT DETAILS'!E584</f>
        <v>0</v>
      </c>
      <c r="F587" s="66" t="b">
        <f t="shared" si="36"/>
        <v>0</v>
      </c>
      <c r="G587" s="66"/>
      <c r="H587" s="66"/>
      <c r="I587" s="66"/>
      <c r="J587" s="66"/>
      <c r="K587" s="66">
        <f t="shared" si="37"/>
        <v>0</v>
      </c>
      <c r="L587" s="66">
        <f t="shared" si="38"/>
        <v>0</v>
      </c>
      <c r="M587" s="66" t="str">
        <f t="shared" si="39"/>
        <v>UNPAID</v>
      </c>
    </row>
    <row r="588" spans="1:13" x14ac:dyDescent="0.3">
      <c r="A588" s="66">
        <f>'STUDENT DETAILS'!A585</f>
        <v>0</v>
      </c>
      <c r="B588" s="66">
        <f>'STUDENT DETAILS'!B585</f>
        <v>0</v>
      </c>
      <c r="C588" s="66">
        <f>'STUDENT DETAILS'!C585</f>
        <v>0</v>
      </c>
      <c r="D588" s="66">
        <f>'STUDENT DETAILS'!D585</f>
        <v>0</v>
      </c>
      <c r="E588" s="94">
        <f>'STUDENT DETAILS'!E585</f>
        <v>0</v>
      </c>
      <c r="F588" s="66" t="b">
        <f t="shared" si="36"/>
        <v>0</v>
      </c>
      <c r="G588" s="66"/>
      <c r="H588" s="66"/>
      <c r="I588" s="66"/>
      <c r="J588" s="66"/>
      <c r="K588" s="66">
        <f t="shared" si="37"/>
        <v>0</v>
      </c>
      <c r="L588" s="66">
        <f t="shared" si="38"/>
        <v>0</v>
      </c>
      <c r="M588" s="66" t="str">
        <f t="shared" si="39"/>
        <v>UNPAID</v>
      </c>
    </row>
    <row r="589" spans="1:13" x14ac:dyDescent="0.3">
      <c r="A589" s="66">
        <f>'STUDENT DETAILS'!A586</f>
        <v>0</v>
      </c>
      <c r="B589" s="66">
        <f>'STUDENT DETAILS'!B586</f>
        <v>0</v>
      </c>
      <c r="C589" s="66">
        <f>'STUDENT DETAILS'!C586</f>
        <v>0</v>
      </c>
      <c r="D589" s="66">
        <f>'STUDENT DETAILS'!D586</f>
        <v>0</v>
      </c>
      <c r="E589" s="94">
        <f>'STUDENT DETAILS'!E586</f>
        <v>0</v>
      </c>
      <c r="F589" s="66" t="b">
        <f t="shared" si="36"/>
        <v>0</v>
      </c>
      <c r="G589" s="66"/>
      <c r="H589" s="66"/>
      <c r="I589" s="66"/>
      <c r="J589" s="66"/>
      <c r="K589" s="66">
        <f t="shared" si="37"/>
        <v>0</v>
      </c>
      <c r="L589" s="66">
        <f t="shared" si="38"/>
        <v>0</v>
      </c>
      <c r="M589" s="66" t="str">
        <f t="shared" si="39"/>
        <v>UNPAID</v>
      </c>
    </row>
    <row r="590" spans="1:13" x14ac:dyDescent="0.3">
      <c r="A590" s="66">
        <f>'STUDENT DETAILS'!A587</f>
        <v>0</v>
      </c>
      <c r="B590" s="66">
        <f>'STUDENT DETAILS'!B587</f>
        <v>0</v>
      </c>
      <c r="C590" s="66">
        <f>'STUDENT DETAILS'!C587</f>
        <v>0</v>
      </c>
      <c r="D590" s="66">
        <f>'STUDENT DETAILS'!D587</f>
        <v>0</v>
      </c>
      <c r="E590" s="94">
        <f>'STUDENT DETAILS'!E587</f>
        <v>0</v>
      </c>
      <c r="F590" s="66" t="b">
        <f t="shared" si="36"/>
        <v>0</v>
      </c>
      <c r="G590" s="66"/>
      <c r="H590" s="66"/>
      <c r="I590" s="66"/>
      <c r="J590" s="66"/>
      <c r="K590" s="66">
        <f t="shared" si="37"/>
        <v>0</v>
      </c>
      <c r="L590" s="66">
        <f t="shared" si="38"/>
        <v>0</v>
      </c>
      <c r="M590" s="66" t="str">
        <f t="shared" si="39"/>
        <v>UNPAID</v>
      </c>
    </row>
    <row r="591" spans="1:13" x14ac:dyDescent="0.3">
      <c r="A591" s="66">
        <f>'STUDENT DETAILS'!A588</f>
        <v>0</v>
      </c>
      <c r="B591" s="66">
        <f>'STUDENT DETAILS'!B588</f>
        <v>0</v>
      </c>
      <c r="C591" s="66">
        <f>'STUDENT DETAILS'!C588</f>
        <v>0</v>
      </c>
      <c r="D591" s="66">
        <f>'STUDENT DETAILS'!D588</f>
        <v>0</v>
      </c>
      <c r="E591" s="94">
        <f>'STUDENT DETAILS'!E588</f>
        <v>0</v>
      </c>
      <c r="F591" s="66" t="b">
        <f t="shared" si="36"/>
        <v>0</v>
      </c>
      <c r="G591" s="66"/>
      <c r="H591" s="66"/>
      <c r="I591" s="66"/>
      <c r="J591" s="66"/>
      <c r="K591" s="66">
        <f t="shared" si="37"/>
        <v>0</v>
      </c>
      <c r="L591" s="66">
        <f t="shared" si="38"/>
        <v>0</v>
      </c>
      <c r="M591" s="66" t="str">
        <f t="shared" si="39"/>
        <v>UNPAID</v>
      </c>
    </row>
    <row r="592" spans="1:13" x14ac:dyDescent="0.3">
      <c r="A592" s="66">
        <f>'STUDENT DETAILS'!A589</f>
        <v>0</v>
      </c>
      <c r="B592" s="66">
        <f>'STUDENT DETAILS'!B589</f>
        <v>0</v>
      </c>
      <c r="C592" s="66">
        <f>'STUDENT DETAILS'!C589</f>
        <v>0</v>
      </c>
      <c r="D592" s="66">
        <f>'STUDENT DETAILS'!D589</f>
        <v>0</v>
      </c>
      <c r="E592" s="94">
        <f>'STUDENT DETAILS'!E589</f>
        <v>0</v>
      </c>
      <c r="F592" s="66" t="b">
        <f t="shared" si="36"/>
        <v>0</v>
      </c>
      <c r="G592" s="66"/>
      <c r="H592" s="66"/>
      <c r="I592" s="66"/>
      <c r="J592" s="66"/>
      <c r="K592" s="66">
        <f t="shared" si="37"/>
        <v>0</v>
      </c>
      <c r="L592" s="66">
        <f t="shared" si="38"/>
        <v>0</v>
      </c>
      <c r="M592" s="66" t="str">
        <f t="shared" si="39"/>
        <v>UNPAID</v>
      </c>
    </row>
    <row r="593" spans="1:13" x14ac:dyDescent="0.3">
      <c r="A593" s="66">
        <f>'STUDENT DETAILS'!A590</f>
        <v>0</v>
      </c>
      <c r="B593" s="66">
        <f>'STUDENT DETAILS'!B590</f>
        <v>0</v>
      </c>
      <c r="C593" s="66">
        <f>'STUDENT DETAILS'!C590</f>
        <v>0</v>
      </c>
      <c r="D593" s="66">
        <f>'STUDENT DETAILS'!D590</f>
        <v>0</v>
      </c>
      <c r="E593" s="94">
        <f>'STUDENT DETAILS'!E590</f>
        <v>0</v>
      </c>
      <c r="F593" s="66" t="b">
        <f t="shared" si="36"/>
        <v>0</v>
      </c>
      <c r="G593" s="66"/>
      <c r="H593" s="66"/>
      <c r="I593" s="66"/>
      <c r="J593" s="66"/>
      <c r="K593" s="66">
        <f t="shared" si="37"/>
        <v>0</v>
      </c>
      <c r="L593" s="66">
        <f t="shared" si="38"/>
        <v>0</v>
      </c>
      <c r="M593" s="66" t="str">
        <f t="shared" si="39"/>
        <v>UNPAID</v>
      </c>
    </row>
    <row r="594" spans="1:13" x14ac:dyDescent="0.3">
      <c r="A594" s="66">
        <f>'STUDENT DETAILS'!A591</f>
        <v>0</v>
      </c>
      <c r="B594" s="66">
        <f>'STUDENT DETAILS'!B591</f>
        <v>0</v>
      </c>
      <c r="C594" s="66">
        <f>'STUDENT DETAILS'!C591</f>
        <v>0</v>
      </c>
      <c r="D594" s="66">
        <f>'STUDENT DETAILS'!D591</f>
        <v>0</v>
      </c>
      <c r="E594" s="94">
        <f>'STUDENT DETAILS'!E591</f>
        <v>0</v>
      </c>
      <c r="F594" s="66" t="b">
        <f t="shared" si="36"/>
        <v>0</v>
      </c>
      <c r="G594" s="66"/>
      <c r="H594" s="66"/>
      <c r="I594" s="66"/>
      <c r="J594" s="66"/>
      <c r="K594" s="66">
        <f t="shared" si="37"/>
        <v>0</v>
      </c>
      <c r="L594" s="66">
        <f t="shared" si="38"/>
        <v>0</v>
      </c>
      <c r="M594" s="66" t="str">
        <f t="shared" si="39"/>
        <v>UNPAID</v>
      </c>
    </row>
    <row r="595" spans="1:13" x14ac:dyDescent="0.3">
      <c r="A595" s="66">
        <f>'STUDENT DETAILS'!A592</f>
        <v>0</v>
      </c>
      <c r="B595" s="66">
        <f>'STUDENT DETAILS'!B592</f>
        <v>0</v>
      </c>
      <c r="C595" s="66">
        <f>'STUDENT DETAILS'!C592</f>
        <v>0</v>
      </c>
      <c r="D595" s="66">
        <f>'STUDENT DETAILS'!D592</f>
        <v>0</v>
      </c>
      <c r="E595" s="94">
        <f>'STUDENT DETAILS'!E592</f>
        <v>0</v>
      </c>
      <c r="F595" s="66" t="b">
        <f t="shared" si="36"/>
        <v>0</v>
      </c>
      <c r="G595" s="66"/>
      <c r="H595" s="66"/>
      <c r="I595" s="66"/>
      <c r="J595" s="66"/>
      <c r="K595" s="66">
        <f t="shared" si="37"/>
        <v>0</v>
      </c>
      <c r="L595" s="66">
        <f t="shared" si="38"/>
        <v>0</v>
      </c>
      <c r="M595" s="66" t="str">
        <f t="shared" si="39"/>
        <v>UNPAID</v>
      </c>
    </row>
    <row r="596" spans="1:13" x14ac:dyDescent="0.3">
      <c r="A596" s="66">
        <f>'STUDENT DETAILS'!A593</f>
        <v>0</v>
      </c>
      <c r="B596" s="66">
        <f>'STUDENT DETAILS'!B593</f>
        <v>0</v>
      </c>
      <c r="C596" s="66">
        <f>'STUDENT DETAILS'!C593</f>
        <v>0</v>
      </c>
      <c r="D596" s="66">
        <f>'STUDENT DETAILS'!D593</f>
        <v>0</v>
      </c>
      <c r="E596" s="94">
        <f>'STUDENT DETAILS'!E593</f>
        <v>0</v>
      </c>
      <c r="F596" s="66" t="b">
        <f t="shared" si="36"/>
        <v>0</v>
      </c>
      <c r="G596" s="66"/>
      <c r="H596" s="66"/>
      <c r="I596" s="66"/>
      <c r="J596" s="66"/>
      <c r="K596" s="66">
        <f t="shared" si="37"/>
        <v>0</v>
      </c>
      <c r="L596" s="66">
        <f t="shared" si="38"/>
        <v>0</v>
      </c>
      <c r="M596" s="66" t="str">
        <f t="shared" si="39"/>
        <v>UNPAID</v>
      </c>
    </row>
    <row r="597" spans="1:13" x14ac:dyDescent="0.3">
      <c r="A597" s="66">
        <f>'STUDENT DETAILS'!A594</f>
        <v>0</v>
      </c>
      <c r="B597" s="66">
        <f>'STUDENT DETAILS'!B594</f>
        <v>0</v>
      </c>
      <c r="C597" s="66">
        <f>'STUDENT DETAILS'!C594</f>
        <v>0</v>
      </c>
      <c r="D597" s="66">
        <f>'STUDENT DETAILS'!D594</f>
        <v>0</v>
      </c>
      <c r="E597" s="94">
        <f>'STUDENT DETAILS'!E594</f>
        <v>0</v>
      </c>
      <c r="F597" s="66" t="b">
        <f t="shared" si="36"/>
        <v>0</v>
      </c>
      <c r="G597" s="66"/>
      <c r="H597" s="66"/>
      <c r="I597" s="66"/>
      <c r="J597" s="66"/>
      <c r="K597" s="66">
        <f t="shared" si="37"/>
        <v>0</v>
      </c>
      <c r="L597" s="66">
        <f t="shared" si="38"/>
        <v>0</v>
      </c>
      <c r="M597" s="66" t="str">
        <f t="shared" si="39"/>
        <v>UNPAID</v>
      </c>
    </row>
    <row r="598" spans="1:13" x14ac:dyDescent="0.3">
      <c r="A598" s="66">
        <f>'STUDENT DETAILS'!A595</f>
        <v>0</v>
      </c>
      <c r="B598" s="66">
        <f>'STUDENT DETAILS'!B595</f>
        <v>0</v>
      </c>
      <c r="C598" s="66">
        <f>'STUDENT DETAILS'!C595</f>
        <v>0</v>
      </c>
      <c r="D598" s="66">
        <f>'STUDENT DETAILS'!D595</f>
        <v>0</v>
      </c>
      <c r="E598" s="94">
        <f>'STUDENT DETAILS'!E595</f>
        <v>0</v>
      </c>
      <c r="F598" s="66" t="b">
        <f t="shared" si="36"/>
        <v>0</v>
      </c>
      <c r="G598" s="66"/>
      <c r="H598" s="66"/>
      <c r="I598" s="66"/>
      <c r="J598" s="66"/>
      <c r="K598" s="66">
        <f t="shared" si="37"/>
        <v>0</v>
      </c>
      <c r="L598" s="66">
        <f t="shared" si="38"/>
        <v>0</v>
      </c>
      <c r="M598" s="66" t="str">
        <f t="shared" si="39"/>
        <v>UNPAID</v>
      </c>
    </row>
    <row r="599" spans="1:13" x14ac:dyDescent="0.3">
      <c r="A599" s="66">
        <f>'STUDENT DETAILS'!A596</f>
        <v>0</v>
      </c>
      <c r="B599" s="66">
        <f>'STUDENT DETAILS'!B596</f>
        <v>0</v>
      </c>
      <c r="C599" s="66">
        <f>'STUDENT DETAILS'!C596</f>
        <v>0</v>
      </c>
      <c r="D599" s="66">
        <f>'STUDENT DETAILS'!D596</f>
        <v>0</v>
      </c>
      <c r="E599" s="94">
        <f>'STUDENT DETAILS'!E596</f>
        <v>0</v>
      </c>
      <c r="F599" s="66" t="b">
        <f t="shared" si="36"/>
        <v>0</v>
      </c>
      <c r="G599" s="66"/>
      <c r="H599" s="66"/>
      <c r="I599" s="66"/>
      <c r="J599" s="66"/>
      <c r="K599" s="66">
        <f t="shared" si="37"/>
        <v>0</v>
      </c>
      <c r="L599" s="66">
        <f t="shared" si="38"/>
        <v>0</v>
      </c>
      <c r="M599" s="66" t="str">
        <f t="shared" si="39"/>
        <v>UNPAID</v>
      </c>
    </row>
    <row r="600" spans="1:13" x14ac:dyDescent="0.3">
      <c r="A600" s="66">
        <f>'STUDENT DETAILS'!A597</f>
        <v>0</v>
      </c>
      <c r="B600" s="66">
        <f>'STUDENT DETAILS'!B597</f>
        <v>0</v>
      </c>
      <c r="C600" s="66">
        <f>'STUDENT DETAILS'!C597</f>
        <v>0</v>
      </c>
      <c r="D600" s="66">
        <f>'STUDENT DETAILS'!D597</f>
        <v>0</v>
      </c>
      <c r="E600" s="94">
        <f>'STUDENT DETAILS'!E597</f>
        <v>0</v>
      </c>
      <c r="F600" s="66" t="b">
        <f t="shared" si="36"/>
        <v>0</v>
      </c>
      <c r="G600" s="66"/>
      <c r="H600" s="66"/>
      <c r="I600" s="66"/>
      <c r="J600" s="66"/>
      <c r="K600" s="66">
        <f t="shared" si="37"/>
        <v>0</v>
      </c>
      <c r="L600" s="66">
        <f t="shared" si="38"/>
        <v>0</v>
      </c>
      <c r="M600" s="66" t="str">
        <f t="shared" si="39"/>
        <v>UNPAID</v>
      </c>
    </row>
    <row r="601" spans="1:13" x14ac:dyDescent="0.3">
      <c r="A601" s="66">
        <f>'STUDENT DETAILS'!A598</f>
        <v>0</v>
      </c>
      <c r="B601" s="66">
        <f>'STUDENT DETAILS'!B598</f>
        <v>0</v>
      </c>
      <c r="C601" s="66">
        <f>'STUDENT DETAILS'!C598</f>
        <v>0</v>
      </c>
      <c r="D601" s="66">
        <f>'STUDENT DETAILS'!D598</f>
        <v>0</v>
      </c>
      <c r="E601" s="94">
        <f>'STUDENT DETAILS'!E598</f>
        <v>0</v>
      </c>
      <c r="F601" s="66" t="b">
        <f t="shared" si="36"/>
        <v>0</v>
      </c>
      <c r="G601" s="66"/>
      <c r="H601" s="66"/>
      <c r="I601" s="66"/>
      <c r="J601" s="66"/>
      <c r="K601" s="66">
        <f t="shared" si="37"/>
        <v>0</v>
      </c>
      <c r="L601" s="66">
        <f t="shared" si="38"/>
        <v>0</v>
      </c>
      <c r="M601" s="66" t="str">
        <f t="shared" si="39"/>
        <v>UNPAID</v>
      </c>
    </row>
    <row r="602" spans="1:13" x14ac:dyDescent="0.3">
      <c r="A602" s="66">
        <f>'STUDENT DETAILS'!A599</f>
        <v>0</v>
      </c>
      <c r="B602" s="66">
        <f>'STUDENT DETAILS'!B599</f>
        <v>0</v>
      </c>
      <c r="C602" s="66">
        <f>'STUDENT DETAILS'!C599</f>
        <v>0</v>
      </c>
      <c r="D602" s="66">
        <f>'STUDENT DETAILS'!D599</f>
        <v>0</v>
      </c>
      <c r="E602" s="94">
        <f>'STUDENT DETAILS'!E599</f>
        <v>0</v>
      </c>
      <c r="F602" s="66" t="b">
        <f t="shared" si="36"/>
        <v>0</v>
      </c>
      <c r="G602" s="66"/>
      <c r="H602" s="66"/>
      <c r="I602" s="66"/>
      <c r="J602" s="66"/>
      <c r="K602" s="66">
        <f t="shared" si="37"/>
        <v>0</v>
      </c>
      <c r="L602" s="66">
        <f t="shared" si="38"/>
        <v>0</v>
      </c>
      <c r="M602" s="66" t="str">
        <f t="shared" si="39"/>
        <v>UNPAID</v>
      </c>
    </row>
    <row r="603" spans="1:13" x14ac:dyDescent="0.3">
      <c r="A603" s="66">
        <f>'STUDENT DETAILS'!A600</f>
        <v>0</v>
      </c>
      <c r="B603" s="66">
        <f>'STUDENT DETAILS'!B600</f>
        <v>0</v>
      </c>
      <c r="C603" s="66">
        <f>'STUDENT DETAILS'!C600</f>
        <v>0</v>
      </c>
      <c r="D603" s="66">
        <f>'STUDENT DETAILS'!D600</f>
        <v>0</v>
      </c>
      <c r="E603" s="94">
        <f>'STUDENT DETAILS'!E600</f>
        <v>0</v>
      </c>
      <c r="F603" s="66" t="b">
        <f t="shared" si="36"/>
        <v>0</v>
      </c>
      <c r="G603" s="66"/>
      <c r="H603" s="66"/>
      <c r="I603" s="66"/>
      <c r="J603" s="66"/>
      <c r="K603" s="66">
        <f t="shared" si="37"/>
        <v>0</v>
      </c>
      <c r="L603" s="66">
        <f t="shared" si="38"/>
        <v>0</v>
      </c>
      <c r="M603" s="66" t="str">
        <f t="shared" si="39"/>
        <v>UNPAID</v>
      </c>
    </row>
    <row r="604" spans="1:13" x14ac:dyDescent="0.3">
      <c r="A604" s="66">
        <f>'STUDENT DETAILS'!A601</f>
        <v>0</v>
      </c>
      <c r="B604" s="66">
        <f>'STUDENT DETAILS'!B601</f>
        <v>0</v>
      </c>
      <c r="C604" s="66">
        <f>'STUDENT DETAILS'!C601</f>
        <v>0</v>
      </c>
      <c r="D604" s="66">
        <f>'STUDENT DETAILS'!D601</f>
        <v>0</v>
      </c>
      <c r="E604" s="94">
        <f>'STUDENT DETAILS'!E601</f>
        <v>0</v>
      </c>
      <c r="F604" s="66" t="b">
        <f t="shared" si="36"/>
        <v>0</v>
      </c>
      <c r="G604" s="66"/>
      <c r="H604" s="66"/>
      <c r="I604" s="66"/>
      <c r="J604" s="66"/>
      <c r="K604" s="66">
        <f t="shared" si="37"/>
        <v>0</v>
      </c>
      <c r="L604" s="66">
        <f t="shared" si="38"/>
        <v>0</v>
      </c>
      <c r="M604" s="66" t="str">
        <f t="shared" si="39"/>
        <v>UNPAID</v>
      </c>
    </row>
    <row r="605" spans="1:13" x14ac:dyDescent="0.3">
      <c r="A605" s="66">
        <f>'STUDENT DETAILS'!A602</f>
        <v>0</v>
      </c>
      <c r="B605" s="66">
        <f>'STUDENT DETAILS'!B602</f>
        <v>0</v>
      </c>
      <c r="C605" s="66">
        <f>'STUDENT DETAILS'!C602</f>
        <v>0</v>
      </c>
      <c r="D605" s="66">
        <f>'STUDENT DETAILS'!D602</f>
        <v>0</v>
      </c>
      <c r="E605" s="94">
        <f>'STUDENT DETAILS'!E602</f>
        <v>0</v>
      </c>
      <c r="F605" s="66" t="b">
        <f t="shared" si="36"/>
        <v>0</v>
      </c>
      <c r="G605" s="66"/>
      <c r="H605" s="66"/>
      <c r="I605" s="66"/>
      <c r="J605" s="66"/>
      <c r="K605" s="66">
        <f t="shared" si="37"/>
        <v>0</v>
      </c>
      <c r="L605" s="66">
        <f t="shared" si="38"/>
        <v>0</v>
      </c>
      <c r="M605" s="66" t="str">
        <f t="shared" si="39"/>
        <v>UNPAID</v>
      </c>
    </row>
  </sheetData>
  <mergeCells count="1">
    <mergeCell ref="E1:I1"/>
  </mergeCells>
  <conditionalFormatting sqref="M6:M605">
    <cfRule type="cellIs" dxfId="4" priority="2" operator="equal">
      <formula>"COMPLETED"</formula>
    </cfRule>
  </conditionalFormatting>
  <conditionalFormatting sqref="M6:M605">
    <cfRule type="cellIs" dxfId="3" priority="1" operator="equal">
      <formula>"UNPAID"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C0B52-3B81-4F96-AE6B-C1D38E4C98B8}">
  <sheetPr codeName="Sheet8"/>
  <dimension ref="A1:M20"/>
  <sheetViews>
    <sheetView workbookViewId="0">
      <selection activeCell="I11" sqref="I11"/>
    </sheetView>
  </sheetViews>
  <sheetFormatPr defaultRowHeight="14.4" x14ac:dyDescent="0.3"/>
  <cols>
    <col min="1" max="1" width="14.44140625" customWidth="1"/>
    <col min="2" max="2" width="14" customWidth="1"/>
    <col min="3" max="3" width="14.6640625" customWidth="1"/>
    <col min="4" max="4" width="23.21875" customWidth="1"/>
  </cols>
  <sheetData>
    <row r="1" spans="1:13" ht="14.4" customHeight="1" x14ac:dyDescent="0.3">
      <c r="A1" s="114" t="s">
        <v>60</v>
      </c>
      <c r="B1" s="115"/>
      <c r="C1" s="115"/>
      <c r="D1" s="115"/>
    </row>
    <row r="2" spans="1:13" x14ac:dyDescent="0.3">
      <c r="A2" s="115"/>
      <c r="B2" s="115"/>
      <c r="C2" s="115"/>
      <c r="D2" s="115"/>
    </row>
    <row r="3" spans="1:13" x14ac:dyDescent="0.3">
      <c r="A3" s="115"/>
      <c r="B3" s="115"/>
      <c r="C3" s="115"/>
      <c r="D3" s="115"/>
    </row>
    <row r="4" spans="1:13" x14ac:dyDescent="0.3">
      <c r="A4" s="115"/>
      <c r="B4" s="115"/>
      <c r="C4" s="115"/>
      <c r="D4" s="115"/>
    </row>
    <row r="5" spans="1:13" x14ac:dyDescent="0.3">
      <c r="A5" s="115"/>
      <c r="B5" s="115"/>
      <c r="C5" s="115"/>
      <c r="D5" s="115"/>
    </row>
    <row r="6" spans="1:13" ht="14.4" customHeight="1" x14ac:dyDescent="0.3"/>
    <row r="7" spans="1:13" ht="28.8" customHeight="1" x14ac:dyDescent="0.3">
      <c r="A7" s="67" t="s">
        <v>48</v>
      </c>
      <c r="B7" s="113">
        <f>IFERROR(VLOOKUP(I10,ADM,1,0),"")</f>
        <v>1</v>
      </c>
      <c r="C7" s="113"/>
      <c r="D7" s="67" t="s">
        <v>59</v>
      </c>
      <c r="E7" s="122">
        <f>IFERROR(VLOOKUP(I10,ADM,6,0),"")</f>
        <v>0</v>
      </c>
      <c r="F7" s="122"/>
      <c r="G7" s="122"/>
    </row>
    <row r="8" spans="1:13" ht="21" customHeight="1" x14ac:dyDescent="0.3"/>
    <row r="9" spans="1:13" ht="26.4" customHeight="1" x14ac:dyDescent="0.3">
      <c r="A9" s="67" t="s">
        <v>6</v>
      </c>
      <c r="B9" s="113">
        <f>IFERROR(VLOOKUP(I10,ADM,2,0),"")</f>
        <v>0</v>
      </c>
      <c r="C9" s="113"/>
      <c r="D9" s="67" t="s">
        <v>63</v>
      </c>
      <c r="E9" s="122">
        <f>IFERROR(VLOOKUP(I10,ADM,7,0),"")</f>
        <v>0</v>
      </c>
      <c r="F9" s="122"/>
      <c r="G9" s="122"/>
      <c r="H9" s="69"/>
      <c r="I9" s="69"/>
      <c r="J9" s="69"/>
      <c r="K9" s="69"/>
      <c r="L9" s="69"/>
      <c r="M9" s="69"/>
    </row>
    <row r="10" spans="1:13" ht="18.600000000000001" customHeight="1" x14ac:dyDescent="0.3">
      <c r="H10" s="69"/>
      <c r="I10" s="123">
        <v>1</v>
      </c>
      <c r="J10" s="123"/>
      <c r="K10" s="111" t="s">
        <v>62</v>
      </c>
      <c r="L10" s="112"/>
      <c r="M10" s="69"/>
    </row>
    <row r="11" spans="1:13" ht="25.2" customHeight="1" x14ac:dyDescent="0.3">
      <c r="A11" s="67" t="s">
        <v>23</v>
      </c>
      <c r="B11" s="113">
        <f>IFERROR(VLOOKUP(I10,ADM,3,0),"")</f>
        <v>0</v>
      </c>
      <c r="C11" s="113"/>
      <c r="D11" s="67" t="s">
        <v>64</v>
      </c>
      <c r="E11" s="122">
        <f>IFERROR(VLOOKUP(I10,ADM,8,0),"")</f>
        <v>0</v>
      </c>
      <c r="F11" s="122"/>
      <c r="G11" s="122"/>
      <c r="H11" s="69"/>
      <c r="I11" s="69"/>
      <c r="J11" s="69"/>
      <c r="K11" s="69"/>
      <c r="L11" s="69"/>
      <c r="M11" s="69"/>
    </row>
    <row r="12" spans="1:13" ht="22.8" customHeight="1" x14ac:dyDescent="0.3"/>
    <row r="13" spans="1:13" ht="25.8" customHeight="1" x14ac:dyDescent="0.3">
      <c r="A13" s="67" t="s">
        <v>5</v>
      </c>
      <c r="B13" s="113">
        <f>IFERROR(VLOOKUP(I10,ADM,4,0),"")</f>
        <v>0</v>
      </c>
      <c r="C13" s="113"/>
      <c r="D13" s="67" t="s">
        <v>65</v>
      </c>
      <c r="E13" s="122">
        <f>IFERROR(VLOOKUP(I10,ADM,9,0),"")</f>
        <v>0</v>
      </c>
      <c r="F13" s="122"/>
      <c r="G13" s="122"/>
    </row>
    <row r="14" spans="1:13" ht="25.2" customHeight="1" x14ac:dyDescent="0.3"/>
    <row r="15" spans="1:13" ht="28.2" customHeight="1" x14ac:dyDescent="0.3">
      <c r="A15" s="67" t="s">
        <v>7</v>
      </c>
      <c r="B15" s="113">
        <f>IFERROR(VLOOKUP(I10,ADM,5,0),"")</f>
        <v>0</v>
      </c>
      <c r="C15" s="113"/>
      <c r="D15" s="67" t="s">
        <v>16</v>
      </c>
      <c r="E15" s="122">
        <f>IFERROR(VLOOKUP(I10,ADM,10,0),"")</f>
        <v>0</v>
      </c>
      <c r="F15" s="122"/>
      <c r="G15" s="122"/>
    </row>
    <row r="16" spans="1:13" ht="24" customHeight="1" x14ac:dyDescent="0.3"/>
    <row r="17" spans="1:5" ht="25.2" customHeight="1" x14ac:dyDescent="0.3"/>
    <row r="18" spans="1:5" x14ac:dyDescent="0.3">
      <c r="A18" s="116" t="s">
        <v>61</v>
      </c>
      <c r="B18" s="117"/>
      <c r="D18" s="116" t="s">
        <v>61</v>
      </c>
      <c r="E18" s="117"/>
    </row>
    <row r="19" spans="1:5" x14ac:dyDescent="0.3">
      <c r="A19" s="118"/>
      <c r="B19" s="119"/>
      <c r="D19" s="118"/>
      <c r="E19" s="119"/>
    </row>
    <row r="20" spans="1:5" x14ac:dyDescent="0.3">
      <c r="A20" s="120"/>
      <c r="B20" s="121"/>
      <c r="D20" s="120"/>
      <c r="E20" s="121"/>
    </row>
  </sheetData>
  <mergeCells count="15">
    <mergeCell ref="K10:L10"/>
    <mergeCell ref="B13:C13"/>
    <mergeCell ref="B15:C15"/>
    <mergeCell ref="A1:D5"/>
    <mergeCell ref="A18:B20"/>
    <mergeCell ref="D18:E20"/>
    <mergeCell ref="E9:G9"/>
    <mergeCell ref="E11:G11"/>
    <mergeCell ref="E13:G13"/>
    <mergeCell ref="E15:G15"/>
    <mergeCell ref="B7:C7"/>
    <mergeCell ref="E7:G7"/>
    <mergeCell ref="B9:C9"/>
    <mergeCell ref="B11:C11"/>
    <mergeCell ref="I10:J10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E1922-B1BB-495F-BBEF-09E778F503A5}">
  <sheetPr codeName="Sheet9"/>
  <dimension ref="A1:L27"/>
  <sheetViews>
    <sheetView topLeftCell="A2" workbookViewId="0">
      <selection activeCell="C8" sqref="C8"/>
    </sheetView>
  </sheetViews>
  <sheetFormatPr defaultRowHeight="14.4" x14ac:dyDescent="0.3"/>
  <cols>
    <col min="1" max="1" width="25.77734375" customWidth="1"/>
    <col min="2" max="2" width="2.21875" customWidth="1"/>
    <col min="3" max="3" width="17.5546875" style="68" customWidth="1"/>
    <col min="4" max="4" width="2.21875" customWidth="1"/>
    <col min="5" max="5" width="24" customWidth="1"/>
    <col min="6" max="6" width="27.21875" customWidth="1"/>
  </cols>
  <sheetData>
    <row r="1" spans="1:12" ht="21.6" customHeight="1" x14ac:dyDescent="0.3">
      <c r="A1" s="124" t="s">
        <v>68</v>
      </c>
      <c r="B1" s="125"/>
      <c r="C1" s="125"/>
      <c r="D1" s="125"/>
      <c r="E1" s="125"/>
      <c r="F1" s="125"/>
    </row>
    <row r="2" spans="1:12" ht="21" customHeight="1" x14ac:dyDescent="0.3">
      <c r="A2" s="125"/>
      <c r="B2" s="125"/>
      <c r="C2" s="125"/>
      <c r="D2" s="125"/>
      <c r="E2" s="125"/>
      <c r="F2" s="125"/>
    </row>
    <row r="3" spans="1:12" ht="21" customHeight="1" x14ac:dyDescent="0.3">
      <c r="A3" s="125"/>
      <c r="B3" s="125"/>
      <c r="C3" s="125"/>
      <c r="D3" s="125"/>
      <c r="E3" s="125"/>
      <c r="F3" s="125"/>
    </row>
    <row r="4" spans="1:12" ht="21.6" customHeight="1" x14ac:dyDescent="0.3">
      <c r="A4" s="125"/>
      <c r="B4" s="125"/>
      <c r="C4" s="125"/>
      <c r="D4" s="125"/>
      <c r="E4" s="125"/>
      <c r="F4" s="125"/>
    </row>
    <row r="5" spans="1:12" ht="21.6" customHeight="1" x14ac:dyDescent="0.3">
      <c r="A5" s="125"/>
      <c r="B5" s="125"/>
      <c r="C5" s="125"/>
      <c r="D5" s="125"/>
      <c r="E5" s="125"/>
      <c r="F5" s="125"/>
    </row>
    <row r="7" spans="1:12" ht="17.399999999999999" x14ac:dyDescent="0.45">
      <c r="A7" s="70"/>
      <c r="B7" s="70"/>
      <c r="C7" s="77"/>
      <c r="D7" s="70"/>
      <c r="E7" s="70"/>
      <c r="F7" s="70"/>
      <c r="G7" s="86"/>
      <c r="H7" s="86"/>
      <c r="I7" s="86"/>
      <c r="J7" s="86"/>
      <c r="K7" s="86"/>
      <c r="L7" s="86"/>
    </row>
    <row r="8" spans="1:12" ht="21" x14ac:dyDescent="0.45">
      <c r="A8" s="71" t="s">
        <v>48</v>
      </c>
      <c r="B8" s="70"/>
      <c r="C8" s="78" t="str">
        <f>IFERROR(VLOOKUP(H8,PAY,1,0),"")</f>
        <v/>
      </c>
      <c r="D8" s="70"/>
      <c r="E8" s="71" t="s">
        <v>51</v>
      </c>
      <c r="F8" s="74" t="str">
        <f>IFERROR(VLOOKUP(H8,PAY,7,0),"")</f>
        <v/>
      </c>
      <c r="G8" s="86"/>
      <c r="H8" s="128">
        <v>1</v>
      </c>
      <c r="I8" s="128"/>
      <c r="J8" s="126" t="s">
        <v>62</v>
      </c>
      <c r="K8" s="127"/>
      <c r="L8" s="86"/>
    </row>
    <row r="9" spans="1:12" ht="17.399999999999999" x14ac:dyDescent="0.45">
      <c r="A9" s="70"/>
      <c r="B9" s="70"/>
      <c r="C9" s="77"/>
      <c r="D9" s="70"/>
      <c r="E9" s="70"/>
      <c r="F9" s="70"/>
      <c r="G9" s="86"/>
      <c r="H9" s="86"/>
      <c r="I9" s="86"/>
      <c r="J9" s="86"/>
      <c r="K9" s="86"/>
      <c r="L9" s="86"/>
    </row>
    <row r="10" spans="1:12" ht="21" x14ac:dyDescent="0.45">
      <c r="A10" s="71" t="s">
        <v>6</v>
      </c>
      <c r="B10" s="70"/>
      <c r="C10" s="78" t="str">
        <f>IFERROR(VLOOKUP(H8,PAY,2,0),"")</f>
        <v/>
      </c>
      <c r="D10" s="70"/>
      <c r="E10" s="71" t="s">
        <v>52</v>
      </c>
      <c r="F10" s="74" t="str">
        <f>IFERROR(VLOOKUP(H8,PAY,8,0),"")</f>
        <v/>
      </c>
    </row>
    <row r="11" spans="1:12" ht="17.399999999999999" x14ac:dyDescent="0.45">
      <c r="A11" s="70"/>
      <c r="B11" s="70"/>
      <c r="C11" s="77"/>
      <c r="D11" s="70"/>
      <c r="E11" s="70"/>
      <c r="F11" s="70"/>
    </row>
    <row r="12" spans="1:12" ht="21" x14ac:dyDescent="0.45">
      <c r="A12" s="71" t="s">
        <v>23</v>
      </c>
      <c r="B12" s="70"/>
      <c r="C12" s="78" t="str">
        <f>IFERROR(VLOOKUP(H8,PAY,3,0),"")</f>
        <v/>
      </c>
      <c r="D12" s="70"/>
      <c r="E12" s="71" t="s">
        <v>53</v>
      </c>
      <c r="F12" s="74" t="str">
        <f>IFERROR(VLOOKUP(H8,PAY,9,0),"")</f>
        <v/>
      </c>
    </row>
    <row r="13" spans="1:12" ht="17.399999999999999" x14ac:dyDescent="0.45">
      <c r="A13" s="70"/>
      <c r="B13" s="70"/>
      <c r="C13" s="77"/>
      <c r="D13" s="70"/>
      <c r="E13" s="70"/>
      <c r="F13" s="70"/>
    </row>
    <row r="14" spans="1:12" ht="21" x14ac:dyDescent="0.45">
      <c r="A14" s="71" t="s">
        <v>5</v>
      </c>
      <c r="B14" s="70"/>
      <c r="C14" s="78" t="str">
        <f>IFERROR(VLOOKUP(H8,PAY,4,0),"")</f>
        <v/>
      </c>
      <c r="D14" s="70"/>
      <c r="E14" s="71" t="s">
        <v>54</v>
      </c>
      <c r="F14" s="74" t="str">
        <f>IFERROR(VLOOKUP(H8,PAY,10,0),"")</f>
        <v/>
      </c>
    </row>
    <row r="15" spans="1:12" ht="17.399999999999999" x14ac:dyDescent="0.45">
      <c r="A15" s="70"/>
      <c r="B15" s="70"/>
      <c r="C15" s="77"/>
      <c r="D15" s="70"/>
      <c r="E15" s="70"/>
      <c r="F15" s="70"/>
    </row>
    <row r="16" spans="1:12" ht="21" x14ac:dyDescent="0.45">
      <c r="A16" s="71" t="s">
        <v>49</v>
      </c>
      <c r="B16" s="70"/>
      <c r="C16" s="96" t="str">
        <f>IFERROR(VLOOKUP(H8,PAY,5,0),"")</f>
        <v/>
      </c>
      <c r="D16" s="70"/>
      <c r="E16" s="70"/>
      <c r="F16" s="70"/>
    </row>
    <row r="17" spans="1:6" ht="17.399999999999999" x14ac:dyDescent="0.45">
      <c r="A17" s="70"/>
      <c r="B17" s="70"/>
      <c r="C17" s="77"/>
      <c r="D17" s="70"/>
      <c r="E17" s="70"/>
      <c r="F17" s="70"/>
    </row>
    <row r="18" spans="1:6" ht="21" x14ac:dyDescent="0.45">
      <c r="A18" s="71" t="s">
        <v>50</v>
      </c>
      <c r="B18" s="70"/>
      <c r="C18" s="78" t="str">
        <f>IFERROR(VLOOKUP(H8,PAY,6,0),"")</f>
        <v/>
      </c>
      <c r="D18" s="70"/>
      <c r="E18" s="70"/>
      <c r="F18" s="70"/>
    </row>
    <row r="19" spans="1:6" ht="17.399999999999999" x14ac:dyDescent="0.45">
      <c r="A19" s="70"/>
      <c r="B19" s="70"/>
      <c r="C19" s="77"/>
      <c r="D19" s="70"/>
      <c r="E19" s="70"/>
      <c r="F19" s="70"/>
    </row>
    <row r="20" spans="1:6" ht="25.2" x14ac:dyDescent="0.6">
      <c r="A20" s="72" t="s">
        <v>55</v>
      </c>
      <c r="B20" s="73"/>
      <c r="C20" s="81" t="s">
        <v>56</v>
      </c>
      <c r="D20" s="73"/>
      <c r="E20" s="73"/>
      <c r="F20" s="72" t="s">
        <v>57</v>
      </c>
    </row>
    <row r="21" spans="1:6" ht="28.8" customHeight="1" x14ac:dyDescent="0.3">
      <c r="A21" s="75" t="str">
        <f>IFERROR(VLOOKUP(H8,PAY,11,0),"")</f>
        <v/>
      </c>
      <c r="C21" s="79" t="str">
        <f>IFERROR(VLOOKUP(H8,PAY,12,0),"")</f>
        <v/>
      </c>
      <c r="F21" s="75" t="str">
        <f>IFERROR(VLOOKUP(H8,PAY,13,0),"")</f>
        <v/>
      </c>
    </row>
    <row r="22" spans="1:6" x14ac:dyDescent="0.3">
      <c r="A22" s="76"/>
      <c r="B22" s="76"/>
      <c r="C22" s="80"/>
      <c r="D22" s="76"/>
      <c r="E22" s="76"/>
      <c r="F22" s="76"/>
    </row>
    <row r="23" spans="1:6" ht="18.600000000000001" thickBot="1" x14ac:dyDescent="0.35">
      <c r="A23" s="82" t="s">
        <v>66</v>
      </c>
      <c r="B23" s="76"/>
      <c r="C23" s="80"/>
      <c r="D23" s="76"/>
      <c r="E23" s="82" t="s">
        <v>67</v>
      </c>
      <c r="F23" s="76"/>
    </row>
    <row r="24" spans="1:6" x14ac:dyDescent="0.3">
      <c r="A24" s="83"/>
      <c r="B24" s="76"/>
      <c r="C24" s="80"/>
      <c r="D24" s="76"/>
      <c r="E24" s="83"/>
      <c r="F24" s="76"/>
    </row>
    <row r="25" spans="1:6" x14ac:dyDescent="0.3">
      <c r="A25" s="84"/>
      <c r="B25" s="76"/>
      <c r="C25" s="80"/>
      <c r="D25" s="76"/>
      <c r="E25" s="84"/>
      <c r="F25" s="76"/>
    </row>
    <row r="26" spans="1:6" ht="15" thickBot="1" x14ac:dyDescent="0.35">
      <c r="A26" s="85"/>
      <c r="B26" s="76"/>
      <c r="C26" s="80"/>
      <c r="D26" s="76"/>
      <c r="E26" s="85"/>
      <c r="F26" s="76"/>
    </row>
    <row r="27" spans="1:6" x14ac:dyDescent="0.3">
      <c r="A27" s="76"/>
      <c r="B27" s="76"/>
      <c r="C27" s="80"/>
      <c r="D27" s="76"/>
      <c r="E27" s="76"/>
      <c r="F27" s="76"/>
    </row>
  </sheetData>
  <mergeCells count="3">
    <mergeCell ref="A1:F5"/>
    <mergeCell ref="J8:K8"/>
    <mergeCell ref="H8:I8"/>
  </mergeCells>
  <conditionalFormatting sqref="J8:K8">
    <cfRule type="cellIs" dxfId="2" priority="3" operator="equal">
      <formula>"COMPLETED"</formula>
    </cfRule>
  </conditionalFormatting>
  <conditionalFormatting sqref="F21">
    <cfRule type="cellIs" dxfId="1" priority="2" operator="equal">
      <formula>"COMPLETED"</formula>
    </cfRule>
    <cfRule type="cellIs" dxfId="0" priority="1" operator="equal">
      <formula>"UNPAID"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CB6C-9EB1-4099-ADC3-030A18982394}">
  <sheetPr codeName="Sheet10"/>
  <dimension ref="A1:J26"/>
  <sheetViews>
    <sheetView view="pageLayout" zoomScaleNormal="100" workbookViewId="0">
      <selection activeCell="B1" sqref="B1:H1"/>
    </sheetView>
  </sheetViews>
  <sheetFormatPr defaultRowHeight="14.4" x14ac:dyDescent="0.3"/>
  <cols>
    <col min="1" max="1" width="10.109375" customWidth="1"/>
    <col min="2" max="2" width="18.109375" customWidth="1"/>
    <col min="3" max="3" width="11.77734375" customWidth="1"/>
    <col min="4" max="4" width="12.33203125" customWidth="1"/>
    <col min="5" max="5" width="13.44140625" customWidth="1"/>
    <col min="6" max="6" width="18.88671875" customWidth="1"/>
  </cols>
  <sheetData>
    <row r="1" spans="1:10" ht="21" x14ac:dyDescent="0.3">
      <c r="A1" s="32"/>
      <c r="B1" s="131" t="s">
        <v>78</v>
      </c>
      <c r="C1" s="132"/>
      <c r="D1" s="132"/>
      <c r="E1" s="132"/>
      <c r="F1" s="132"/>
      <c r="G1" s="132"/>
      <c r="H1" s="132"/>
      <c r="I1" s="87"/>
      <c r="J1" s="87"/>
    </row>
    <row r="2" spans="1:10" x14ac:dyDescent="0.3">
      <c r="A2" s="32"/>
      <c r="B2" s="32"/>
      <c r="C2" s="32"/>
      <c r="D2" s="32"/>
      <c r="E2" s="32"/>
      <c r="F2" s="32"/>
      <c r="G2" s="32"/>
      <c r="H2" s="32"/>
      <c r="I2" s="32"/>
      <c r="J2" s="32"/>
    </row>
    <row r="3" spans="1:10" x14ac:dyDescent="0.3">
      <c r="A3" s="32"/>
      <c r="B3" s="32"/>
      <c r="C3" s="32"/>
      <c r="D3" s="32"/>
      <c r="E3" s="32"/>
      <c r="F3" s="32"/>
      <c r="G3" s="32"/>
      <c r="H3" s="32"/>
      <c r="I3" s="32"/>
      <c r="J3" s="32"/>
    </row>
    <row r="4" spans="1:10" x14ac:dyDescent="0.3">
      <c r="A4" s="32"/>
      <c r="B4" s="32"/>
      <c r="C4" s="32"/>
      <c r="D4" s="32"/>
      <c r="E4" s="32"/>
      <c r="F4" s="32"/>
      <c r="G4" s="32"/>
      <c r="H4" s="32"/>
      <c r="I4" s="32"/>
      <c r="J4" s="32"/>
    </row>
    <row r="5" spans="1:10" ht="15.6" x14ac:dyDescent="0.3">
      <c r="A5" s="88" t="s">
        <v>69</v>
      </c>
      <c r="B5" s="32"/>
      <c r="C5" s="32"/>
      <c r="D5" s="32"/>
      <c r="E5" s="32"/>
      <c r="F5" s="32"/>
      <c r="G5" s="32"/>
      <c r="H5" s="32"/>
      <c r="I5" s="32"/>
      <c r="J5" s="32"/>
    </row>
    <row r="6" spans="1:10" ht="19.2" customHeight="1" x14ac:dyDescent="0.3">
      <c r="A6" s="88" t="s">
        <v>70</v>
      </c>
      <c r="B6" s="32"/>
      <c r="C6" s="32"/>
      <c r="D6" s="32"/>
      <c r="E6" s="32"/>
      <c r="F6" s="32"/>
      <c r="G6" s="32"/>
      <c r="H6" s="32"/>
      <c r="I6" s="32"/>
      <c r="J6" s="32"/>
    </row>
    <row r="7" spans="1:10" ht="16.8" customHeight="1" x14ac:dyDescent="0.3">
      <c r="A7" s="88" t="s">
        <v>71</v>
      </c>
      <c r="B7" s="32"/>
      <c r="C7" s="32"/>
      <c r="D7" s="32"/>
      <c r="E7" s="32"/>
      <c r="F7" s="32"/>
      <c r="G7" s="32"/>
      <c r="H7" s="32"/>
      <c r="I7" s="32"/>
      <c r="J7" s="32"/>
    </row>
    <row r="8" spans="1:10" ht="13.8" customHeight="1" x14ac:dyDescent="0.3">
      <c r="A8" s="88" t="s">
        <v>72</v>
      </c>
      <c r="B8" s="32"/>
      <c r="C8" s="32"/>
      <c r="D8" s="32"/>
      <c r="E8" s="32"/>
      <c r="F8" s="32"/>
      <c r="G8" s="32"/>
      <c r="H8" s="32"/>
      <c r="I8" s="32"/>
      <c r="J8" s="32"/>
    </row>
    <row r="9" spans="1:10" ht="25.2" customHeight="1" x14ac:dyDescent="0.45">
      <c r="A9" s="32"/>
      <c r="B9" s="32"/>
      <c r="C9" s="129" t="s">
        <v>77</v>
      </c>
      <c r="D9" s="130"/>
      <c r="E9" s="130"/>
      <c r="F9" s="32"/>
      <c r="G9" s="32"/>
      <c r="H9" s="32"/>
      <c r="I9" s="32"/>
      <c r="J9" s="32"/>
    </row>
    <row r="10" spans="1:10" ht="15.6" x14ac:dyDescent="0.3">
      <c r="A10" s="88" t="s">
        <v>42</v>
      </c>
      <c r="B10" s="88" t="s">
        <v>73</v>
      </c>
      <c r="C10" s="88" t="s">
        <v>74</v>
      </c>
      <c r="D10" s="88" t="s">
        <v>75</v>
      </c>
      <c r="E10" s="88" t="s">
        <v>26</v>
      </c>
      <c r="F10" s="88" t="s">
        <v>76</v>
      </c>
      <c r="G10" s="88"/>
      <c r="H10" s="88"/>
      <c r="I10" s="88"/>
      <c r="J10" s="88"/>
    </row>
    <row r="11" spans="1:10" ht="15.6" x14ac:dyDescent="0.3">
      <c r="A11" s="88">
        <v>1</v>
      </c>
      <c r="B11" s="88" t="s">
        <v>27</v>
      </c>
      <c r="C11" s="32"/>
      <c r="D11" s="32"/>
      <c r="E11" s="32"/>
      <c r="F11" s="32"/>
      <c r="G11" s="32"/>
      <c r="H11" s="32"/>
      <c r="I11" s="32"/>
      <c r="J11" s="32"/>
    </row>
    <row r="12" spans="1:10" ht="15.6" x14ac:dyDescent="0.3">
      <c r="A12" s="88">
        <v>2</v>
      </c>
      <c r="B12" s="88" t="s">
        <v>28</v>
      </c>
      <c r="C12" s="32"/>
      <c r="D12" s="32"/>
      <c r="E12" s="32"/>
      <c r="F12" s="32"/>
      <c r="G12" s="32"/>
      <c r="H12" s="32"/>
      <c r="I12" s="32"/>
      <c r="J12" s="32"/>
    </row>
    <row r="13" spans="1:10" ht="15.6" x14ac:dyDescent="0.3">
      <c r="A13" s="88">
        <v>3</v>
      </c>
      <c r="B13" s="88" t="s">
        <v>29</v>
      </c>
      <c r="C13" s="32"/>
      <c r="D13" s="32"/>
      <c r="E13" s="32"/>
      <c r="F13" s="32"/>
      <c r="G13" s="32"/>
      <c r="H13" s="32"/>
      <c r="I13" s="32"/>
      <c r="J13" s="32"/>
    </row>
    <row r="14" spans="1:10" ht="15.6" x14ac:dyDescent="0.3">
      <c r="A14" s="88">
        <v>4</v>
      </c>
      <c r="B14" s="88" t="s">
        <v>30</v>
      </c>
      <c r="C14" s="32"/>
      <c r="D14" s="32"/>
      <c r="E14" s="32"/>
      <c r="F14" s="32"/>
      <c r="G14" s="32"/>
      <c r="H14" s="32"/>
      <c r="I14" s="32"/>
      <c r="J14" s="32"/>
    </row>
    <row r="15" spans="1:10" ht="15.6" x14ac:dyDescent="0.3">
      <c r="A15" s="88">
        <v>5</v>
      </c>
      <c r="B15" s="88" t="s">
        <v>79</v>
      </c>
      <c r="C15" s="32"/>
      <c r="D15" s="32"/>
      <c r="E15" s="32"/>
      <c r="F15" s="32"/>
      <c r="G15" s="32"/>
      <c r="H15" s="32"/>
      <c r="I15" s="32"/>
      <c r="J15" s="32"/>
    </row>
    <row r="16" spans="1:10" ht="15.6" x14ac:dyDescent="0.3">
      <c r="A16" s="88">
        <v>6</v>
      </c>
      <c r="B16" s="88" t="s">
        <v>32</v>
      </c>
      <c r="C16" s="32"/>
      <c r="D16" s="32"/>
      <c r="E16" s="32"/>
      <c r="F16" s="32"/>
      <c r="G16" s="32"/>
      <c r="H16" s="32"/>
      <c r="I16" s="32"/>
      <c r="J16" s="32"/>
    </row>
    <row r="17" spans="1:10" ht="15.6" x14ac:dyDescent="0.3">
      <c r="A17" s="88">
        <v>7</v>
      </c>
      <c r="B17" s="88" t="s">
        <v>33</v>
      </c>
      <c r="C17" s="32"/>
      <c r="D17" s="32"/>
      <c r="E17" s="32"/>
      <c r="F17" s="32"/>
      <c r="G17" s="32"/>
      <c r="H17" s="32"/>
      <c r="I17" s="32"/>
      <c r="J17" s="32"/>
    </row>
    <row r="18" spans="1:10" ht="15.6" x14ac:dyDescent="0.3">
      <c r="A18" s="88">
        <v>8</v>
      </c>
      <c r="B18" s="88" t="s">
        <v>34</v>
      </c>
      <c r="C18" s="32"/>
      <c r="D18" s="32"/>
      <c r="E18" s="32"/>
      <c r="F18" s="32"/>
      <c r="G18" s="32"/>
      <c r="H18" s="32"/>
      <c r="I18" s="32"/>
      <c r="J18" s="32"/>
    </row>
    <row r="19" spans="1:10" ht="15.6" x14ac:dyDescent="0.3">
      <c r="A19" s="88">
        <v>9</v>
      </c>
      <c r="B19" s="88" t="s">
        <v>36</v>
      </c>
      <c r="C19" s="32"/>
      <c r="D19" s="32"/>
      <c r="E19" s="32"/>
      <c r="F19" s="32"/>
      <c r="G19" s="32"/>
      <c r="H19" s="32"/>
      <c r="I19" s="32"/>
      <c r="J19" s="32"/>
    </row>
    <row r="20" spans="1:10" ht="15.6" x14ac:dyDescent="0.3">
      <c r="A20" s="88">
        <v>10</v>
      </c>
      <c r="B20" s="88" t="s">
        <v>37</v>
      </c>
      <c r="C20" s="32"/>
      <c r="D20" s="32"/>
      <c r="E20" s="32"/>
      <c r="F20" s="32"/>
      <c r="G20" s="32"/>
      <c r="H20" s="32"/>
      <c r="I20" s="32"/>
      <c r="J20" s="32"/>
    </row>
    <row r="21" spans="1:10" ht="15.6" x14ac:dyDescent="0.3">
      <c r="A21" s="88">
        <v>11</v>
      </c>
      <c r="B21" s="88" t="s">
        <v>38</v>
      </c>
      <c r="C21" s="32"/>
      <c r="D21" s="32"/>
      <c r="E21" s="32"/>
      <c r="F21" s="32"/>
      <c r="G21" s="32"/>
      <c r="H21" s="32"/>
      <c r="I21" s="32"/>
      <c r="J21" s="32"/>
    </row>
    <row r="22" spans="1:10" ht="15.6" x14ac:dyDescent="0.3">
      <c r="A22" s="88">
        <v>12</v>
      </c>
      <c r="B22" s="88" t="s">
        <v>26</v>
      </c>
      <c r="C22" s="88"/>
      <c r="D22" s="88"/>
      <c r="E22" s="88"/>
      <c r="F22" s="88"/>
      <c r="G22" s="88"/>
      <c r="H22" s="88"/>
      <c r="I22" s="88"/>
      <c r="J22" s="88"/>
    </row>
    <row r="24" spans="1:10" ht="15.6" x14ac:dyDescent="0.3">
      <c r="A24" s="133" t="s">
        <v>80</v>
      </c>
      <c r="B24" s="134"/>
    </row>
    <row r="26" spans="1:10" ht="15.6" x14ac:dyDescent="0.3">
      <c r="A26" s="133" t="s">
        <v>81</v>
      </c>
      <c r="B26" s="135"/>
    </row>
  </sheetData>
  <mergeCells count="4">
    <mergeCell ref="C9:E9"/>
    <mergeCell ref="B1:H1"/>
    <mergeCell ref="A24:B24"/>
    <mergeCell ref="A26:B26"/>
  </mergeCells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E02-4EB9-49DC-A773-FDD722BCA37B}">
  <sheetPr codeName="Sheet11"/>
  <dimension ref="A1:K57"/>
  <sheetViews>
    <sheetView view="pageLayout" topLeftCell="A6" zoomScaleNormal="100" workbookViewId="0">
      <selection sqref="A1:K33"/>
    </sheetView>
  </sheetViews>
  <sheetFormatPr defaultRowHeight="14.4" x14ac:dyDescent="0.3"/>
  <cols>
    <col min="1" max="1" width="4.33203125" customWidth="1"/>
    <col min="2" max="2" width="16.21875" customWidth="1"/>
    <col min="3" max="3" width="14.44140625" customWidth="1"/>
    <col min="4" max="4" width="11.88671875" customWidth="1"/>
    <col min="8" max="8" width="12.33203125" customWidth="1"/>
    <col min="9" max="9" width="15" customWidth="1"/>
  </cols>
  <sheetData>
    <row r="1" spans="1:11" ht="23.4" x14ac:dyDescent="0.3">
      <c r="A1" s="32"/>
      <c r="B1" s="137" t="s">
        <v>87</v>
      </c>
      <c r="C1" s="137"/>
      <c r="D1" s="137"/>
      <c r="E1" s="137"/>
      <c r="F1" s="137"/>
      <c r="G1" s="137"/>
      <c r="H1" s="137"/>
      <c r="I1" s="137"/>
      <c r="J1" s="137"/>
      <c r="K1" s="32"/>
    </row>
    <row r="2" spans="1:11" ht="15.6" x14ac:dyDescent="0.3">
      <c r="A2" s="136" t="s">
        <v>69</v>
      </c>
      <c r="B2" s="136"/>
      <c r="C2" s="138"/>
      <c r="D2" s="139"/>
      <c r="E2" s="139"/>
      <c r="F2" s="139"/>
      <c r="G2" s="139"/>
      <c r="H2" s="139"/>
      <c r="I2" s="139"/>
      <c r="J2" s="140"/>
      <c r="K2" s="32"/>
    </row>
    <row r="3" spans="1:11" ht="15.6" x14ac:dyDescent="0.3">
      <c r="A3" s="136" t="s">
        <v>70</v>
      </c>
      <c r="B3" s="136"/>
      <c r="C3" s="138"/>
      <c r="D3" s="139"/>
      <c r="E3" s="139"/>
      <c r="F3" s="139"/>
      <c r="G3" s="139"/>
      <c r="H3" s="139"/>
      <c r="I3" s="139"/>
      <c r="J3" s="140"/>
      <c r="K3" s="32"/>
    </row>
    <row r="4" spans="1:11" ht="15.6" x14ac:dyDescent="0.3">
      <c r="A4" s="89" t="s">
        <v>71</v>
      </c>
      <c r="B4" s="90"/>
      <c r="C4" s="138"/>
      <c r="D4" s="139"/>
      <c r="E4" s="139"/>
      <c r="F4" s="139"/>
      <c r="G4" s="139"/>
      <c r="H4" s="139"/>
      <c r="I4" s="139"/>
      <c r="J4" s="140"/>
      <c r="K4" s="32"/>
    </row>
    <row r="5" spans="1:11" ht="15.6" x14ac:dyDescent="0.3">
      <c r="A5" s="136" t="s">
        <v>72</v>
      </c>
      <c r="B5" s="136"/>
      <c r="C5" s="138"/>
      <c r="D5" s="139"/>
      <c r="E5" s="139"/>
      <c r="F5" s="139"/>
      <c r="G5" s="139"/>
      <c r="H5" s="139"/>
      <c r="I5" s="139"/>
      <c r="J5" s="140"/>
      <c r="K5" s="32"/>
    </row>
    <row r="6" spans="1:11" x14ac:dyDescent="0.3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</row>
    <row r="7" spans="1:11" ht="15.6" x14ac:dyDescent="0.3">
      <c r="A7" s="91" t="s">
        <v>82</v>
      </c>
      <c r="B7" s="92" t="s">
        <v>6</v>
      </c>
      <c r="C7" s="92" t="s">
        <v>43</v>
      </c>
      <c r="D7" s="92" t="s">
        <v>8</v>
      </c>
      <c r="E7" s="92" t="s">
        <v>14</v>
      </c>
      <c r="F7" s="92" t="s">
        <v>83</v>
      </c>
      <c r="G7" s="92" t="s">
        <v>84</v>
      </c>
      <c r="H7" s="92" t="s">
        <v>16</v>
      </c>
      <c r="I7" s="92" t="s">
        <v>85</v>
      </c>
      <c r="J7" s="92" t="s">
        <v>86</v>
      </c>
      <c r="K7" s="32"/>
    </row>
    <row r="8" spans="1:11" x14ac:dyDescent="0.3">
      <c r="A8" s="32">
        <v>1</v>
      </c>
      <c r="B8" s="32"/>
      <c r="C8" s="32"/>
      <c r="D8" s="32"/>
      <c r="E8" s="32"/>
      <c r="F8" s="32"/>
      <c r="G8" s="32"/>
      <c r="H8" s="32"/>
      <c r="I8" s="32"/>
      <c r="J8" s="32"/>
      <c r="K8" s="32"/>
    </row>
    <row r="9" spans="1:11" x14ac:dyDescent="0.3">
      <c r="A9" s="32">
        <v>2</v>
      </c>
      <c r="B9" s="32"/>
      <c r="C9" s="32"/>
      <c r="D9" s="32"/>
      <c r="E9" s="32"/>
      <c r="F9" s="32"/>
      <c r="G9" s="32"/>
      <c r="H9" s="32"/>
      <c r="I9" s="32"/>
      <c r="J9" s="32"/>
      <c r="K9" s="32"/>
    </row>
    <row r="10" spans="1:11" x14ac:dyDescent="0.3">
      <c r="A10" s="32">
        <v>3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</row>
    <row r="11" spans="1:11" x14ac:dyDescent="0.3">
      <c r="A11" s="32">
        <v>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</row>
    <row r="12" spans="1:11" x14ac:dyDescent="0.3">
      <c r="A12" s="32">
        <v>5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</row>
    <row r="13" spans="1:11" x14ac:dyDescent="0.3">
      <c r="A13" s="32">
        <v>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1" x14ac:dyDescent="0.3">
      <c r="A14" s="32">
        <v>7</v>
      </c>
      <c r="B14" s="32"/>
      <c r="C14" s="32"/>
      <c r="D14" s="32"/>
      <c r="E14" s="32"/>
      <c r="F14" s="32"/>
      <c r="G14" s="32"/>
      <c r="H14" s="32"/>
      <c r="I14" s="32"/>
      <c r="J14" s="32"/>
      <c r="K14" s="32"/>
    </row>
    <row r="15" spans="1:11" x14ac:dyDescent="0.3">
      <c r="A15" s="32">
        <v>8</v>
      </c>
      <c r="B15" s="32"/>
      <c r="C15" s="32"/>
      <c r="D15" s="32"/>
      <c r="E15" s="32"/>
      <c r="F15" s="32"/>
      <c r="G15" s="32"/>
      <c r="H15" s="32"/>
      <c r="I15" s="32"/>
      <c r="J15" s="32"/>
      <c r="K15" s="32"/>
    </row>
    <row r="16" spans="1:11" x14ac:dyDescent="0.3">
      <c r="A16" s="32">
        <v>9</v>
      </c>
      <c r="B16" s="32"/>
      <c r="C16" s="32"/>
      <c r="D16" s="32"/>
      <c r="E16" s="32"/>
      <c r="F16" s="32"/>
      <c r="G16" s="32"/>
      <c r="H16" s="32"/>
      <c r="I16" s="32"/>
      <c r="J16" s="32"/>
      <c r="K16" s="32"/>
    </row>
    <row r="17" spans="1:11" x14ac:dyDescent="0.3">
      <c r="A17" s="32">
        <v>10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</row>
    <row r="18" spans="1:11" x14ac:dyDescent="0.3">
      <c r="A18" s="32">
        <v>11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</row>
    <row r="19" spans="1:11" x14ac:dyDescent="0.3">
      <c r="A19" s="32">
        <v>12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</row>
    <row r="20" spans="1:11" x14ac:dyDescent="0.3">
      <c r="A20" s="32">
        <v>13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</row>
    <row r="21" spans="1:11" x14ac:dyDescent="0.3">
      <c r="A21" s="32">
        <v>14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</row>
    <row r="22" spans="1:11" x14ac:dyDescent="0.3">
      <c r="A22" s="32">
        <v>15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</row>
    <row r="23" spans="1:11" x14ac:dyDescent="0.3">
      <c r="A23" s="32">
        <v>16</v>
      </c>
      <c r="B23" s="32"/>
      <c r="C23" s="32"/>
      <c r="D23" s="32"/>
      <c r="E23" s="32"/>
      <c r="F23" s="32"/>
      <c r="G23" s="32"/>
      <c r="H23" s="32"/>
      <c r="I23" s="32"/>
      <c r="J23" s="32"/>
      <c r="K23" s="32"/>
    </row>
    <row r="24" spans="1:11" x14ac:dyDescent="0.3">
      <c r="A24" s="32">
        <v>17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</row>
    <row r="25" spans="1:11" x14ac:dyDescent="0.3">
      <c r="A25" s="32">
        <v>18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</row>
    <row r="26" spans="1:11" x14ac:dyDescent="0.3">
      <c r="A26" s="32">
        <v>19</v>
      </c>
      <c r="B26" s="32"/>
      <c r="C26" s="32"/>
      <c r="D26" s="32"/>
      <c r="E26" s="32"/>
      <c r="F26" s="32"/>
      <c r="G26" s="32"/>
      <c r="H26" s="32"/>
      <c r="I26" s="32"/>
      <c r="J26" s="32"/>
      <c r="K26" s="32"/>
    </row>
    <row r="27" spans="1:11" x14ac:dyDescent="0.3">
      <c r="A27" s="32">
        <v>20</v>
      </c>
      <c r="B27" s="32"/>
      <c r="C27" s="32"/>
      <c r="D27" s="32"/>
      <c r="E27" s="32"/>
      <c r="F27" s="32"/>
      <c r="G27" s="32"/>
      <c r="H27" s="32"/>
      <c r="I27" s="32"/>
      <c r="J27" s="32"/>
      <c r="K27" s="32"/>
    </row>
    <row r="28" spans="1:11" x14ac:dyDescent="0.3">
      <c r="A28" s="32">
        <v>21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</row>
    <row r="29" spans="1:11" x14ac:dyDescent="0.3">
      <c r="A29" s="32">
        <v>22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</row>
    <row r="30" spans="1:11" x14ac:dyDescent="0.3">
      <c r="A30" s="32">
        <v>23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</row>
    <row r="31" spans="1:11" x14ac:dyDescent="0.3">
      <c r="A31" s="32">
        <v>24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</row>
    <row r="32" spans="1:11" x14ac:dyDescent="0.3">
      <c r="A32" s="32">
        <v>25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</row>
    <row r="33" spans="1:11" x14ac:dyDescent="0.3">
      <c r="A33" s="32">
        <v>26</v>
      </c>
      <c r="B33" s="32"/>
      <c r="C33" s="32"/>
      <c r="D33" s="32"/>
      <c r="E33" s="32"/>
      <c r="F33" s="32"/>
      <c r="G33" s="32"/>
      <c r="H33" s="32"/>
      <c r="I33" s="32"/>
      <c r="J33" s="32"/>
      <c r="K33" s="32"/>
    </row>
    <row r="34" spans="1:11" x14ac:dyDescent="0.3">
      <c r="A34" s="32">
        <v>27</v>
      </c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1:11" x14ac:dyDescent="0.3">
      <c r="A35" s="32">
        <v>28</v>
      </c>
      <c r="B35" s="32"/>
      <c r="C35" s="32"/>
      <c r="D35" s="32"/>
      <c r="E35" s="32"/>
      <c r="F35" s="32"/>
      <c r="G35" s="32"/>
      <c r="H35" s="32"/>
      <c r="I35" s="32"/>
      <c r="J35" s="32"/>
      <c r="K35" s="32"/>
    </row>
    <row r="36" spans="1:11" x14ac:dyDescent="0.3">
      <c r="A36" s="32">
        <v>29</v>
      </c>
      <c r="B36" s="32"/>
      <c r="C36" s="32"/>
      <c r="D36" s="32"/>
      <c r="E36" s="32"/>
      <c r="F36" s="32"/>
      <c r="G36" s="32"/>
      <c r="H36" s="32"/>
      <c r="I36" s="32"/>
      <c r="J36" s="32"/>
      <c r="K36" s="32"/>
    </row>
    <row r="37" spans="1:11" x14ac:dyDescent="0.3">
      <c r="A37" s="32">
        <v>30</v>
      </c>
      <c r="B37" s="32"/>
      <c r="C37" s="32"/>
      <c r="D37" s="32"/>
      <c r="E37" s="32"/>
      <c r="F37" s="32"/>
      <c r="G37" s="32"/>
      <c r="H37" s="32"/>
      <c r="I37" s="32"/>
      <c r="J37" s="32"/>
      <c r="K37" s="32"/>
    </row>
    <row r="38" spans="1:11" x14ac:dyDescent="0.3">
      <c r="A38" s="32">
        <v>31</v>
      </c>
      <c r="B38" s="32"/>
      <c r="C38" s="32"/>
      <c r="D38" s="32"/>
      <c r="E38" s="32"/>
      <c r="F38" s="32"/>
      <c r="G38" s="32"/>
      <c r="H38" s="32"/>
      <c r="I38" s="32"/>
      <c r="J38" s="32"/>
      <c r="K38" s="32"/>
    </row>
    <row r="39" spans="1:11" x14ac:dyDescent="0.3">
      <c r="A39" s="32">
        <v>32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</row>
    <row r="40" spans="1:11" x14ac:dyDescent="0.3">
      <c r="A40" s="32">
        <v>33</v>
      </c>
      <c r="B40" s="32"/>
      <c r="C40" s="32"/>
      <c r="D40" s="32"/>
      <c r="E40" s="32"/>
      <c r="F40" s="32"/>
      <c r="G40" s="32"/>
      <c r="H40" s="32"/>
      <c r="I40" s="32"/>
      <c r="J40" s="32"/>
      <c r="K40" s="32"/>
    </row>
    <row r="41" spans="1:11" x14ac:dyDescent="0.3">
      <c r="A41" s="32">
        <v>34</v>
      </c>
      <c r="B41" s="32"/>
      <c r="C41" s="32"/>
      <c r="D41" s="32"/>
      <c r="E41" s="32"/>
      <c r="F41" s="32"/>
      <c r="G41" s="32"/>
      <c r="H41" s="32"/>
      <c r="I41" s="32"/>
      <c r="J41" s="32"/>
      <c r="K41" s="32"/>
    </row>
    <row r="42" spans="1:11" x14ac:dyDescent="0.3">
      <c r="A42" s="32">
        <v>35</v>
      </c>
      <c r="B42" s="32"/>
      <c r="C42" s="32"/>
      <c r="D42" s="32"/>
      <c r="E42" s="32"/>
      <c r="F42" s="32"/>
      <c r="G42" s="32"/>
      <c r="H42" s="32"/>
      <c r="I42" s="32"/>
      <c r="J42" s="32"/>
      <c r="K42" s="32"/>
    </row>
    <row r="43" spans="1:11" x14ac:dyDescent="0.3">
      <c r="A43" s="32">
        <v>36</v>
      </c>
      <c r="B43" s="32"/>
      <c r="C43" s="32"/>
      <c r="D43" s="32"/>
      <c r="E43" s="32"/>
      <c r="F43" s="32"/>
      <c r="G43" s="32"/>
      <c r="H43" s="32"/>
      <c r="I43" s="32"/>
      <c r="J43" s="32"/>
      <c r="K43" s="32"/>
    </row>
    <row r="44" spans="1:11" x14ac:dyDescent="0.3">
      <c r="A44" s="32">
        <v>37</v>
      </c>
      <c r="B44" s="32"/>
      <c r="C44" s="32"/>
      <c r="D44" s="32"/>
      <c r="E44" s="32"/>
      <c r="F44" s="32"/>
      <c r="G44" s="32"/>
      <c r="H44" s="32"/>
      <c r="I44" s="32"/>
      <c r="J44" s="32"/>
      <c r="K44" s="32"/>
    </row>
    <row r="45" spans="1:11" x14ac:dyDescent="0.3">
      <c r="A45" s="32">
        <v>38</v>
      </c>
      <c r="B45" s="32"/>
      <c r="C45" s="32"/>
      <c r="D45" s="32"/>
      <c r="E45" s="32"/>
      <c r="F45" s="32"/>
      <c r="G45" s="32"/>
      <c r="H45" s="32"/>
      <c r="I45" s="32"/>
      <c r="J45" s="32"/>
      <c r="K45" s="32"/>
    </row>
    <row r="46" spans="1:11" x14ac:dyDescent="0.3">
      <c r="A46" s="32">
        <v>39</v>
      </c>
      <c r="B46" s="32"/>
      <c r="C46" s="32"/>
      <c r="D46" s="32"/>
      <c r="E46" s="32"/>
      <c r="F46" s="32"/>
      <c r="G46" s="32"/>
      <c r="H46" s="32"/>
      <c r="I46" s="32"/>
      <c r="J46" s="32"/>
      <c r="K46" s="32"/>
    </row>
    <row r="47" spans="1:11" x14ac:dyDescent="0.3">
      <c r="A47" s="32">
        <v>40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</row>
    <row r="48" spans="1:11" x14ac:dyDescent="0.3">
      <c r="A48" s="32">
        <v>41</v>
      </c>
      <c r="B48" s="32"/>
      <c r="C48" s="32"/>
      <c r="D48" s="32"/>
      <c r="E48" s="32"/>
      <c r="F48" s="32"/>
      <c r="G48" s="32"/>
      <c r="H48" s="32"/>
      <c r="I48" s="32"/>
      <c r="J48" s="32"/>
      <c r="K48" s="32"/>
    </row>
    <row r="49" spans="1:11" x14ac:dyDescent="0.3">
      <c r="A49" s="32">
        <v>42</v>
      </c>
      <c r="B49" s="32"/>
      <c r="C49" s="32"/>
      <c r="D49" s="32"/>
      <c r="E49" s="32"/>
      <c r="F49" s="32"/>
      <c r="G49" s="32"/>
      <c r="H49" s="32"/>
      <c r="I49" s="32"/>
      <c r="J49" s="32"/>
      <c r="K49" s="32"/>
    </row>
    <row r="50" spans="1:11" x14ac:dyDescent="0.3">
      <c r="A50" s="32">
        <v>43</v>
      </c>
      <c r="B50" s="32"/>
      <c r="C50" s="32"/>
      <c r="D50" s="32"/>
      <c r="E50" s="32"/>
      <c r="F50" s="32"/>
      <c r="G50" s="32"/>
      <c r="H50" s="32"/>
      <c r="I50" s="32"/>
      <c r="J50" s="32"/>
      <c r="K50" s="32"/>
    </row>
    <row r="51" spans="1:11" x14ac:dyDescent="0.3">
      <c r="A51" s="32">
        <v>44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</row>
    <row r="52" spans="1:11" x14ac:dyDescent="0.3">
      <c r="A52" s="32">
        <v>45</v>
      </c>
      <c r="B52" s="32"/>
      <c r="C52" s="32"/>
      <c r="D52" s="32"/>
      <c r="E52" s="32"/>
      <c r="F52" s="32"/>
      <c r="G52" s="32"/>
      <c r="H52" s="32"/>
      <c r="I52" s="32"/>
      <c r="J52" s="32"/>
      <c r="K52" s="32"/>
    </row>
    <row r="53" spans="1:11" x14ac:dyDescent="0.3">
      <c r="A53" s="32">
        <v>46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</row>
    <row r="54" spans="1:11" x14ac:dyDescent="0.3">
      <c r="A54" s="32">
        <v>47</v>
      </c>
      <c r="B54" s="32"/>
      <c r="C54" s="32"/>
      <c r="D54" s="32"/>
      <c r="E54" s="32"/>
      <c r="F54" s="32"/>
      <c r="G54" s="32"/>
      <c r="H54" s="32"/>
      <c r="I54" s="32"/>
      <c r="J54" s="32"/>
      <c r="K54" s="32"/>
    </row>
    <row r="55" spans="1:11" x14ac:dyDescent="0.3">
      <c r="A55" s="32">
        <v>48</v>
      </c>
      <c r="B55" s="32"/>
      <c r="C55" s="32"/>
      <c r="D55" s="32"/>
      <c r="E55" s="32"/>
      <c r="F55" s="32"/>
      <c r="G55" s="32"/>
      <c r="H55" s="32"/>
      <c r="I55" s="32"/>
      <c r="J55" s="32"/>
      <c r="K55" s="32"/>
    </row>
    <row r="56" spans="1:11" x14ac:dyDescent="0.3">
      <c r="A56" s="32">
        <v>49</v>
      </c>
      <c r="B56" s="32"/>
      <c r="C56" s="32"/>
      <c r="D56" s="32"/>
      <c r="E56" s="32"/>
      <c r="F56" s="32"/>
      <c r="G56" s="32"/>
      <c r="H56" s="32"/>
      <c r="I56" s="32"/>
      <c r="J56" s="32"/>
      <c r="K56" s="32"/>
    </row>
    <row r="57" spans="1:11" x14ac:dyDescent="0.3">
      <c r="A57" s="32">
        <v>50</v>
      </c>
      <c r="B57" s="32"/>
      <c r="C57" s="32"/>
      <c r="D57" s="32"/>
      <c r="E57" s="32"/>
      <c r="F57" s="32"/>
      <c r="G57" s="32"/>
      <c r="H57" s="32"/>
      <c r="I57" s="32"/>
      <c r="J57" s="32"/>
      <c r="K57" s="32"/>
    </row>
  </sheetData>
  <mergeCells count="8">
    <mergeCell ref="A2:B2"/>
    <mergeCell ref="A3:B3"/>
    <mergeCell ref="A5:B5"/>
    <mergeCell ref="B1:J1"/>
    <mergeCell ref="C2:J2"/>
    <mergeCell ref="C5:J5"/>
    <mergeCell ref="C4:J4"/>
    <mergeCell ref="C3:J3"/>
  </mergeCells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B0FBB-2B97-4FA1-8B55-46FBCA2B7666}">
  <sheetPr codeName="Sheet13"/>
  <dimension ref="B3:X16"/>
  <sheetViews>
    <sheetView topLeftCell="J1" workbookViewId="0">
      <selection activeCell="V1" sqref="V1"/>
    </sheetView>
  </sheetViews>
  <sheetFormatPr defaultRowHeight="14.4" x14ac:dyDescent="0.3"/>
  <cols>
    <col min="2" max="2" width="14.33203125" bestFit="1" customWidth="1"/>
    <col min="8" max="8" width="19.33203125" customWidth="1"/>
    <col min="20" max="20" width="14.77734375" customWidth="1"/>
    <col min="22" max="22" width="17.88671875" customWidth="1"/>
  </cols>
  <sheetData>
    <row r="3" spans="2:24" x14ac:dyDescent="0.3">
      <c r="L3" t="s">
        <v>98</v>
      </c>
      <c r="P3" t="s">
        <v>98</v>
      </c>
    </row>
    <row r="4" spans="2:24" x14ac:dyDescent="0.3">
      <c r="B4" t="s">
        <v>27</v>
      </c>
      <c r="H4" t="s">
        <v>89</v>
      </c>
      <c r="L4" t="s">
        <v>99</v>
      </c>
      <c r="P4" t="s">
        <v>99</v>
      </c>
      <c r="T4" t="s">
        <v>108</v>
      </c>
    </row>
    <row r="5" spans="2:24" x14ac:dyDescent="0.3">
      <c r="B5" t="s">
        <v>28</v>
      </c>
      <c r="H5" t="s">
        <v>90</v>
      </c>
      <c r="L5" t="s">
        <v>100</v>
      </c>
      <c r="P5" t="s">
        <v>101</v>
      </c>
      <c r="T5" t="s">
        <v>109</v>
      </c>
    </row>
    <row r="6" spans="2:24" x14ac:dyDescent="0.3">
      <c r="B6" t="s">
        <v>29</v>
      </c>
      <c r="H6" t="s">
        <v>91</v>
      </c>
      <c r="L6" t="s">
        <v>101</v>
      </c>
      <c r="P6" t="s">
        <v>105</v>
      </c>
      <c r="T6" t="s">
        <v>110</v>
      </c>
    </row>
    <row r="7" spans="2:24" x14ac:dyDescent="0.3">
      <c r="B7" t="s">
        <v>30</v>
      </c>
      <c r="H7" t="s">
        <v>92</v>
      </c>
      <c r="L7" t="s">
        <v>102</v>
      </c>
      <c r="P7" t="s">
        <v>106</v>
      </c>
      <c r="T7" t="s">
        <v>111</v>
      </c>
    </row>
    <row r="8" spans="2:24" x14ac:dyDescent="0.3">
      <c r="B8" t="s">
        <v>79</v>
      </c>
      <c r="H8" t="s">
        <v>93</v>
      </c>
      <c r="L8" t="s">
        <v>103</v>
      </c>
      <c r="P8" t="s">
        <v>107</v>
      </c>
      <c r="T8" t="s">
        <v>112</v>
      </c>
    </row>
    <row r="9" spans="2:24" x14ac:dyDescent="0.3">
      <c r="B9" t="s">
        <v>32</v>
      </c>
      <c r="H9" t="s">
        <v>94</v>
      </c>
      <c r="L9" t="s">
        <v>104</v>
      </c>
      <c r="T9" t="s">
        <v>113</v>
      </c>
    </row>
    <row r="10" spans="2:24" x14ac:dyDescent="0.3">
      <c r="B10" t="s">
        <v>33</v>
      </c>
      <c r="H10" t="s">
        <v>95</v>
      </c>
      <c r="T10" t="s">
        <v>114</v>
      </c>
    </row>
    <row r="11" spans="2:24" x14ac:dyDescent="0.3">
      <c r="B11" t="s">
        <v>34</v>
      </c>
      <c r="H11" t="s">
        <v>96</v>
      </c>
      <c r="T11" t="s">
        <v>115</v>
      </c>
    </row>
    <row r="12" spans="2:24" x14ac:dyDescent="0.3">
      <c r="B12" t="s">
        <v>35</v>
      </c>
      <c r="H12" t="s">
        <v>97</v>
      </c>
      <c r="T12" t="s">
        <v>116</v>
      </c>
    </row>
    <row r="13" spans="2:24" x14ac:dyDescent="0.3">
      <c r="B13" t="s">
        <v>36</v>
      </c>
      <c r="T13" t="s">
        <v>117</v>
      </c>
    </row>
    <row r="14" spans="2:24" x14ac:dyDescent="0.3">
      <c r="B14" t="s">
        <v>37</v>
      </c>
    </row>
    <row r="15" spans="2:24" x14ac:dyDescent="0.3">
      <c r="B15" t="s">
        <v>38</v>
      </c>
    </row>
    <row r="16" spans="2:24" x14ac:dyDescent="0.3">
      <c r="B16" t="s">
        <v>88</v>
      </c>
      <c r="V16" t="s">
        <v>133</v>
      </c>
      <c r="X16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HOME</vt:lpstr>
      <vt:lpstr>ABOUT</vt:lpstr>
      <vt:lpstr>STUDENT DETAILS</vt:lpstr>
      <vt:lpstr>Teacher Details</vt:lpstr>
      <vt:lpstr>STUDENT EMIS DATA</vt:lpstr>
      <vt:lpstr>TEACHER EMIS DATA</vt:lpstr>
      <vt:lpstr>FEES COLLECTION</vt:lpstr>
      <vt:lpstr>ADM.RECIEPT</vt:lpstr>
      <vt:lpstr>FEE RECIEPT</vt:lpstr>
      <vt:lpstr>STUDENT EMIS TABLE</vt:lpstr>
      <vt:lpstr>TEACHER EMIS TABLE</vt:lpstr>
      <vt:lpstr>SETTING</vt:lpstr>
      <vt:lpstr>ACC</vt:lpstr>
      <vt:lpstr>ADM</vt:lpstr>
      <vt:lpstr>CLASS</vt:lpstr>
      <vt:lpstr>DESIG</vt:lpstr>
      <vt:lpstr>PAY</vt:lpstr>
      <vt:lpstr>PROF</vt:lpstr>
      <vt:lpstr>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Gurkirat singh Matharu</dc:creator>
  <cp:lastModifiedBy>Gurkirat singh Matharu</cp:lastModifiedBy>
  <cp:lastPrinted>2024-06-17T15:40:51Z</cp:lastPrinted>
  <dcterms:created xsi:type="dcterms:W3CDTF">2024-06-05T16:09:23Z</dcterms:created>
  <dcterms:modified xsi:type="dcterms:W3CDTF">2024-06-17T15:54:15Z</dcterms:modified>
</cp:coreProperties>
</file>